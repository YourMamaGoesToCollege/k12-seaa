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12 epics" sheetId="1" r:id="rId4"/>
    <sheet state="visible" name="Matts Research" sheetId="2" r:id="rId5"/>
    <sheet state="visible" name="Delta" sheetId="3" r:id="rId6"/>
    <sheet state="visible" name="Scope" sheetId="4" r:id="rId7"/>
    <sheet state="visible" name="Scope w References" sheetId="5" r:id="rId8"/>
  </sheets>
  <definedNames/>
  <calcPr/>
</workbook>
</file>

<file path=xl/sharedStrings.xml><?xml version="1.0" encoding="utf-8"?>
<sst xmlns="http://schemas.openxmlformats.org/spreadsheetml/2006/main" count="590" uniqueCount="422">
  <si>
    <t>Based on a review of the K12 Epics and the domain analysis provided in Matt’s Research, the following items are related to Matt’s identified themes, contexts, entities, and required integrations for the NC K12 scholarship programs (ESA+ and OS).</t>
  </si>
  <si>
    <t>The table below lists the relevant K12 Epics, their unique identifier, and the specific connection to the concepts defined in Matt's Research.</t>
  </si>
  <si>
    <t>Epic Summary</t>
  </si>
  <si>
    <t>Epic Key</t>
  </si>
  <si>
    <t>Implement ADA Compliance Practices in Development</t>
  </si>
  <si>
    <t>K12-4150</t>
  </si>
  <si>
    <t>GEO Fencing for My Portal K12</t>
  </si>
  <si>
    <t>K12-4072</t>
  </si>
  <si>
    <t>Microservices Framework</t>
  </si>
  <si>
    <t>K12-4023</t>
  </si>
  <si>
    <t>Academic Year Life Cycle Transaction Driven Model</t>
  </si>
  <si>
    <t>K12-3935</t>
  </si>
  <si>
    <t>"My Provider" page build</t>
  </si>
  <si>
    <t>K12-3916</t>
  </si>
  <si>
    <t>School Page - Enhanced School Communication &amp; Notification System</t>
  </si>
  <si>
    <t>K12-3913</t>
  </si>
  <si>
    <t>RDS Integration</t>
  </si>
  <si>
    <t>K12-3844</t>
  </si>
  <si>
    <t>Provider Enrollment Program Buildout</t>
  </si>
  <si>
    <t>K12-3838</t>
  </si>
  <si>
    <t>Enabler- Determine the Solution for PID Generator for Households</t>
  </si>
  <si>
    <t>K12-3651</t>
  </si>
  <si>
    <t>Communication Center: create rule-based communications</t>
  </si>
  <si>
    <t>K12-3626</t>
  </si>
  <si>
    <t>Communications Center: retrieve historical records</t>
  </si>
  <si>
    <t>K12-3625</t>
  </si>
  <si>
    <t>Communication Center: schedule and send emails/notifications and alert banners</t>
  </si>
  <si>
    <t>K12-3624</t>
  </si>
  <si>
    <t>Glossary</t>
  </si>
  <si>
    <t>K12-3590</t>
  </si>
  <si>
    <t>Student Data Retention / Data Retention - Incomplete HH enrollment</t>
  </si>
  <si>
    <t>K12-3506 / K12-3505</t>
  </si>
  <si>
    <t>Communication Center: use query builder to identify recipients</t>
  </si>
  <si>
    <t>K12-3398</t>
  </si>
  <si>
    <t>Discovery for End of Year Processes</t>
  </si>
  <si>
    <t>K12-3217</t>
  </si>
  <si>
    <t>Phone Screenpop</t>
  </si>
  <si>
    <t>K12-3213</t>
  </si>
  <si>
    <t>Phase 1 Reports</t>
  </si>
  <si>
    <t>K12-3189</t>
  </si>
  <si>
    <t>Provider Data Migration / Migrated Provider Login</t>
  </si>
  <si>
    <t>K12-3168 / K12-3167</t>
  </si>
  <si>
    <t>Migrated Household Login</t>
  </si>
  <si>
    <t>K12-3166</t>
  </si>
  <si>
    <t>DNPE List ingest into portal</t>
  </si>
  <si>
    <t>K12-3146</t>
  </si>
  <si>
    <t>Generate a PDF of the submitted OS and ESA+ Applications</t>
  </si>
  <si>
    <t>K12-3144</t>
  </si>
  <si>
    <t>My Students</t>
  </si>
  <si>
    <t>K12-3138</t>
  </si>
  <si>
    <t>Fed Poverty Guideline Integration</t>
  </si>
  <si>
    <t>K12-3137</t>
  </si>
  <si>
    <t>DPI Integration</t>
  </si>
  <si>
    <t>K12-3133</t>
  </si>
  <si>
    <t>Integrate with PID Generator for Households</t>
  </si>
  <si>
    <t>K12-3132</t>
  </si>
  <si>
    <t>Enabler - Query Builder Tool</t>
  </si>
  <si>
    <t>K12-3111</t>
  </si>
  <si>
    <t>Mapping Data from EB to Client Application</t>
  </si>
  <si>
    <t>K12-3108, K12-2701</t>
  </si>
  <si>
    <t>Update Program to accommodate Decision Prompts</t>
  </si>
  <si>
    <t>K12-3090</t>
  </si>
  <si>
    <t>Individual School Contact and Logins</t>
  </si>
  <si>
    <t>K12-3032</t>
  </si>
  <si>
    <t>Enabler and RDS Integration</t>
  </si>
  <si>
    <t>K12-2964</t>
  </si>
  <si>
    <t>Provider Renewal Program buildout</t>
  </si>
  <si>
    <t>K12-2933</t>
  </si>
  <si>
    <t>EFT Integration - Phase 1</t>
  </si>
  <si>
    <t>K12-2829</t>
  </si>
  <si>
    <t>Prototype of Enrollment Programs</t>
  </si>
  <si>
    <t>K12-2580</t>
  </si>
  <si>
    <t>Disaster Recovery (DR)</t>
  </si>
  <si>
    <t>K12-2537</t>
  </si>
  <si>
    <t>In-App messaging Topics for HH</t>
  </si>
  <si>
    <t>K12-2306</t>
  </si>
  <si>
    <t>Proxy Parent</t>
  </si>
  <si>
    <t>K12-2290</t>
  </si>
  <si>
    <t>Household Dashboard - Base</t>
  </si>
  <si>
    <t>K12-2076</t>
  </si>
  <si>
    <t>Terms and agreements Configuration Page</t>
  </si>
  <si>
    <t>K12-2036</t>
  </si>
  <si>
    <t>Academic Year</t>
  </si>
  <si>
    <t>K12-2031</t>
  </si>
  <si>
    <t>Tuition and Fees schedule enhancement</t>
  </si>
  <si>
    <t>K12-2030</t>
  </si>
  <si>
    <t>Household ClassWallet Integration</t>
  </si>
  <si>
    <t>K12-1989</t>
  </si>
  <si>
    <t>Tasks needed for Households</t>
  </si>
  <si>
    <t>K12-1979</t>
  </si>
  <si>
    <t>Add Students Enrollment Program Build (BA)</t>
  </si>
  <si>
    <t>K12-1978</t>
  </si>
  <si>
    <t>ESA+ Eligibility Determination</t>
  </si>
  <si>
    <t>K12-1873</t>
  </si>
  <si>
    <t>OS Eligibility Determination and Tier Assignment</t>
  </si>
  <si>
    <t>K12-1872</t>
  </si>
  <si>
    <t>Task Management for Schools</t>
  </si>
  <si>
    <t>K12-1860</t>
  </si>
  <si>
    <t>Background Check Automation for HDMA</t>
  </si>
  <si>
    <t>K12-1795</t>
  </si>
  <si>
    <t>Scholarship Renewals (returning student) application buildout (BA)</t>
  </si>
  <si>
    <t>K12-1792</t>
  </si>
  <si>
    <t>Shared Scholarship Program Settings</t>
  </si>
  <si>
    <t>K12-1788</t>
  </si>
  <si>
    <t>ESA+ Awarding Selection and Offering Process</t>
  </si>
  <si>
    <t>K12-1770</t>
  </si>
  <si>
    <t>**ESA+ and OS \</t>
  </si>
  <si>
    <t>Award Program Data Setup**</t>
  </si>
  <si>
    <t>Foundational setup for the Awarding &amp; Funding Context (database design to store household and student information required for running the Lottery for both programs).</t>
  </si>
  <si>
    <t>School Record</t>
  </si>
  <si>
    <t>K12-1767</t>
  </si>
  <si>
    <t>Issue Tracking</t>
  </si>
  <si>
    <t>K12-1766</t>
  </si>
  <si>
    <t>Informational Rosters</t>
  </si>
  <si>
    <t>K12-1765</t>
  </si>
  <si>
    <t>Certification and Acknowledgement Page</t>
  </si>
  <si>
    <t>K12-1764</t>
  </si>
  <si>
    <t>Student Withdrawal</t>
  </si>
  <si>
    <t>K12-1763</t>
  </si>
  <si>
    <t>Bulk Updates - Data File Transfer</t>
  </si>
  <si>
    <t>K12-1755</t>
  </si>
  <si>
    <t>Cost of Attendance</t>
  </si>
  <si>
    <t>K12-1751</t>
  </si>
  <si>
    <t>School Admin Reports</t>
  </si>
  <si>
    <t>K12-1745</t>
  </si>
  <si>
    <t>Not yet endorsed Roster</t>
  </si>
  <si>
    <t>K12-1744</t>
  </si>
  <si>
    <t>Not Yet Certified Roster</t>
  </si>
  <si>
    <t>K12-1743</t>
  </si>
  <si>
    <t>Graduation Roster</t>
  </si>
  <si>
    <t>K12-1742</t>
  </si>
  <si>
    <t>School Intake Process- Program buildout (BA)</t>
  </si>
  <si>
    <t>K12-1740</t>
  </si>
  <si>
    <t>Custom Disbursements</t>
  </si>
  <si>
    <t>K12-1696</t>
  </si>
  <si>
    <t>Award Management and changes to offers</t>
  </si>
  <si>
    <t>K12-1688</t>
  </si>
  <si>
    <t>OS Income Verification Task and remediation for the 4%</t>
  </si>
  <si>
    <t>K12-1686</t>
  </si>
  <si>
    <t>OS Awarding Selection and Offering Process</t>
  </si>
  <si>
    <t>K12-1685</t>
  </si>
  <si>
    <t>ESA+ &amp; OS Lottery Process Implementation</t>
  </si>
  <si>
    <t>K12-1684</t>
  </si>
  <si>
    <t>ESA+ application buildout (BA)</t>
  </si>
  <si>
    <t>K12-1683</t>
  </si>
  <si>
    <t>OS application buildout (BA)</t>
  </si>
  <si>
    <t>K12-1682</t>
  </si>
  <si>
    <t>PENDING-Invoke a Validator</t>
  </si>
  <si>
    <t>K12-1590</t>
  </si>
  <si>
    <t>Program-Specific Award Configurations (ESA+ and OS)</t>
  </si>
  <si>
    <t>K12-1589</t>
  </si>
  <si>
    <t>Household Enrollment Program Build (BA)</t>
  </si>
  <si>
    <t>K12-1588</t>
  </si>
  <si>
    <t>Admin Security Pages - Role Based</t>
  </si>
  <si>
    <t>K12-1587</t>
  </si>
  <si>
    <t>Validate &amp; Remediate Applicant Data</t>
  </si>
  <si>
    <t>K12-167</t>
  </si>
  <si>
    <t>Panda Docs Implementation (Base)</t>
  </si>
  <si>
    <t>K12-81</t>
  </si>
  <si>
    <t>In-App Messaging- MVP</t>
  </si>
  <si>
    <t>K12-80</t>
  </si>
  <si>
    <t>The K12 Epics align closely with the Bounded Contexts and Canonical Entities defined in Matt's Research, particularly focusing on the core processes of Application &amp; Eligibility, Awarding &amp; Funding, Compliance &amp; Agreements, and Domicile Verification.</t>
  </si>
  <si>
    <t>The table below identifies the relationships between the K12 Epics and the requirements detailed in the domain analysis of the NC K12 scholarship programs (ESA+ and OS).</t>
  </si>
  <si>
    <t>Related Matt's Research Context/Requirement</t>
  </si>
  <si>
    <t>K12 Epic Source</t>
  </si>
  <si>
    <t>Relates to Non-Functional Requirements (NFRs) for Accessibility in web UIs.</t>
  </si>
  <si>
    <t>Implements guidelines on who can login and from where (blocking access from certain countries). This relates to the Security &amp; Privacy NFRs and constraints related to the Domicile Verification process.</t>
  </si>
  <si>
    <t>Aims to improve the stability and performance of the awarding and registration process. This supports the Awarding &amp; Funding Context and overall Availability &amp; Resilience NFRs.</t>
  </si>
  <si>
    <t>Outlines key events that trigger transactions/balances for OS and ESA+ students. This directly informs the Awarding &amp; Funding Context (tracking awards, balances, and modeling events related to cancellation and rollover).</t>
  </si>
  <si>
    <t>Builds a page to hold Provider demographics and business details. This supports the Provider Enrollment Context and the definition of the Provider Entity.</t>
  </si>
  <si>
    <t>Provides schools a comprehensive view of communications (emails, banners, notifications). This is part of the Communications, Tasks &amp; Documents Context.</t>
  </si>
  <si>
    <t>Integrates with RDS (CFI owned) for validation of household address data to verify Residency for parents via an overnight batch job, aiming to remove the need for a manual residency verification task. This directly implements the Domicile Verification &amp; Inter-Agency Cooperation Context and leverages the NC Residency Determination Service (RDS).</t>
  </si>
  <si>
    <t>Building the actual V1 of the Provider Enrollment program. This supports the Provider Enrollment Context.</t>
  </si>
  <si>
    <t>Establishes the plan for generating a unique, permanent PID for parents and students to be used by SEAA Admins instead of SSN. This defines the requirements for a Canonical Entity (Parent/Student ID).</t>
  </si>
  <si>
    <t>Allows communications to be sent based on specific conditions. This supports the generation of automated Notice/Messages within the Communications, Tasks &amp; Documents Context.</t>
  </si>
  <si>
    <t>Provides the ability to see historical records of emails/notifications/banners sent to a program partner. This enhances the Communications, Tasks &amp; Documents Context.</t>
  </si>
  <si>
    <t>Allows scheduling communications (emails/notifications/alert banners) to various program partner types (provider, school, household). This is a core function of the Communications, Tasks &amp; Documents Context.</t>
  </si>
  <si>
    <t>Provides a central resource to clarify jargon, technical terms, and unique concepts. This supports Phase 0 Discovery &amp; DDD Baseline by formalizing the ubiquitous language.</t>
  </si>
  <si>
    <t>Defines the data retention policy: 5 years for awarded scholarships and 12 months if no funds disbursed. This relates to Compliance &amp; Auditability NFRs.</t>
  </si>
  <si>
    <t>Enables the ability to target specific groups of people based on common data for customized communication. This integrates the Query Builder Tool into the Communications Context.</t>
  </si>
  <si>
    <t>Discovery for finalizing financials, including ClassWallet reconciliation and analysis to see if a student used enough funds for rollover or eligibility. This is critical for the ESA+ Wallet, Purchasing &amp; Expenses Context (Rollover computation) and Compliance (Minimum Spend check).</t>
  </si>
  <si>
    <t>Uses the PID input by the caller to automatically look up and pop up the Account Record in the Admin Portal. This enables efficient support using the Canonical Entity (PID).</t>
  </si>
  <si>
    <t>Identifying and building the highest priority reports and queries. Directly relates to the Reporting &amp; Tax Context.</t>
  </si>
  <si>
    <t>Migrated Provider Login / Provider Data Migration</t>
  </si>
  <si>
    <t>K12-3167 / K12-3168</t>
  </si>
  <si>
    <t>Ensures existing Providers log into the new K12 portal and have historical data (3 academic years) associated with their account. Concerns the Provider Entity and compliance/auditability.</t>
  </si>
  <si>
    <t>Allows existing households to join the new system in a renewal type situation, verifying few requirements, and tying historical data to the PID number. Relates to the Renewal Process.</t>
  </si>
  <si>
    <t>Ingests the weekly DNPE spreadsheet to verify that a school is registered, which is a program requirement. This is an integration with the DNPE (Division of Non-Public Education).</t>
  </si>
  <si>
    <t>Admin ability to generate a PDF file of submitted applications upon request. Supports the Documents Context.</t>
  </si>
  <si>
    <t>Allows a parent to see and manage all student data (collected during the Add Student Enrollment Program), including the ability to update School Choice. Relates to the Student Entity and School Choice &amp; Enrollment Context.</t>
  </si>
  <si>
    <t>Researching automation around capturing Federal Poverty Guidelines (FPG) data used annually to determine OS Tiers. Relates to the Awarding &amp; Funding Context (AwardTier configuration).</t>
  </si>
  <si>
    <t>Integration to pull student IEP data directly from DPI (Department of Public Instruction). This supports the ESA+ Eligibility Determination requirements within the Domicile Verification &amp; Inter-Agency Cooperation Context.</t>
  </si>
  <si>
    <t>Implementation of the PID Generator to create unique, permanent ID's for parents and students upon household account creation. Addresses the use of Canonical Entities (Parent/Student).</t>
  </si>
  <si>
    <t>Develops the feature for SEAA administrators to create, modify, and execute complex queries across Provider, School, and student data. Foundational for the Reporting &amp; Tax Context.</t>
  </si>
  <si>
    <t>K12-3108 / K12-2701</t>
  </si>
  <si>
    <t>Ensures data entered in the enrollment builder application is accurately available and populated in the corresponding dashboard fields. Essential for the Application &amp; Eligibility Context and document handling.</t>
  </si>
  <si>
    <t>Allows multiple contacts per school, defining roles like the HDMA who is solely responsible for the background check and NPS agreement tasks. This relates to School Obligations (G.S. 115C-562.5).</t>
  </si>
  <si>
    <t>Enabler for Domicile Verification by integrating with RDS (CFI owned) for residency verification. Directly relates to the Domicile Verification &amp; Inter-Agency Cooperation Context.</t>
  </si>
  <si>
    <t>Building a streamlined renewal process for existing providers focused on revalidating data points annually. This supports the Provider Enrollment Context.</t>
  </si>
  <si>
    <t>Integration for Electronic Funds Transfer (EFT). Part of the Awarding &amp; Funding Context (Payment).</t>
  </si>
  <si>
    <t>Allows Providers to test submitting answers to a program created in Enrollment Builder. Supports the Provider Enrollment Context.</t>
  </si>
  <si>
    <t>Focuses on creating a failover site and planning for extended outages. Directly relates to Availability &amp; Resilience NFRs.</t>
  </si>
  <si>
    <t>Updates messaging topics for households, anticipating common parent questions regarding eligibility, documents, student info, and ClassWallet. Relates to the Communications Context and ESA+ Wallet.</t>
  </si>
  <si>
    <t>Allows a parent to invite another parent to their account to see child's data and simplify ClassWallet interactions. Relates to the Parent Entity and ESA+ Wallet interactions.</t>
  </si>
  <si>
    <t>The primary landing page for parents to apply for and manage scholarships. Supports the Application &amp; Eligibility Context and the Communications, Tasks &amp; Documents Context (tasking, messaging).</t>
  </si>
  <si>
    <t>Admin screen for updating and publishing changes to Terms and Agreements. Supports the Compliance &amp; Agreements Context.</t>
  </si>
  <si>
    <t>Foundational concept required for Reporting &amp; Tax Context and Awarding &amp; Funding Context (driving reporting and setting portal settings).</t>
  </si>
  <si>
    <t>Enhancement idea related to the requirement for schools to submit their TuitionFeeSchedule. Directly related to School Obligations (G.S. 115C-562.5) and the Reporting &amp; Tax Context.</t>
  </si>
  <si>
    <t>Provides a way for households with ESA+ students to connect with their ClassWallet information. Directly relates to the ESA+ Wallet, Purchasing &amp; Expenses Context.</t>
  </si>
  <si>
    <t>Defines the To-Do list (ToDoItem) required for parents (accept/decline awards, sign the LEA Release form, income/residency verification, renewal forms). Relates to the Communications, Tasks &amp; Documents Context and Compliance &amp; Agreements Context.</t>
  </si>
  <si>
    <t>Building the program for parents to add children to their account and apply for scholarships. Relates to the Application &amp; Eligibility Context and the Student Entity.</t>
  </si>
  <si>
    <t>Uses application data to determine eligibility and funding level (Base/Advanced). References the need for IEPs and potential DPI connection. Directly addresses the ESA+ EligibilityDetermination aggregate.</t>
  </si>
  <si>
    <t>Determines eligibility and assigns the appropriate Award Tier (1-4) based on application data. Directly addresses the Application &amp; Eligibility Context and AwardTier aggregate.</t>
  </si>
  <si>
    <t>Managing, assigning, and creating tasks for schools, including automated reminders and specific tasks assigned to the HDMA like the Background Check. Relates to the Communications, Tasks &amp; Documents Context and School Obligations.</t>
  </si>
  <si>
    <t>Focuses on automating the background check for the school's HDMA via Castle Branch. This is a critical requirement under School Obligations (G.S. 115C-562.5).</t>
  </si>
  <si>
    <t>Building the streamlined application for OS and ESA+ renewals, including checking residency, graduation status, and income recertification. Supports the Renewal Process.</t>
  </si>
  <si>
    <t>Centralized configuration module for annual, common program settings (e.g., application windows, award deadlines) tied to the Academic Year. Foundational for the Awarding &amp; Funding Context.</t>
  </si>
  <si>
    <t>Implementation of the awarding process using lottery results and program settings, generating offers, tasks, and prioritizing renewal students. Addresses the Awarding &amp; Funding Context.</t>
  </si>
  <si>
    <t>K12-1769</t>
  </si>
  <si>
    <t>Database design to store information required for running the Lottery. Foundational for the Awarding &amp; Funding Context.</t>
  </si>
  <si>
    <t>Central location for specialists to view and manage school information, including contacts, payment, Issue Tracking, Rosters, and Test Score Repo data. Supports the School Entity and Reporting &amp; Tax Context.</t>
  </si>
  <si>
    <t>Managing the suspension state of a school based on non-compliance (certification, endorsement, payment). Relates to the Compliance &amp; Agreements Context and School Obligations.</t>
  </si>
  <si>
    <t>Defining rosters/data filters for offered, certified, endorsed, and disbursed students. Relates to the Reporting &amp; Tax Context.</t>
  </si>
  <si>
    <t>Implementing the required legislative acknowledgement page (Petty Page) linked to rostering. Directly supports Nonpublic School Obligations (G.S. 115C-562.5) within the Compliance Context.</t>
  </si>
  <si>
    <t>Provides the School Administrator the ability to withdraw certified students, updating student and financial records. Supports the School Choice &amp; Enrollment Context (EnrollmentRecord).</t>
  </si>
  <si>
    <t>Allows schools to make bulk updates to rosters for Certification and Endorsement. Supports the School Choice &amp; Enrollment Context.</t>
  </si>
  <si>
    <t>Allows schools to enter standard Cost of Attendance per grade level, used to prepopulate fields during the Certification process. Related to AnnualCertification and School Obligations.</t>
  </si>
  <si>
    <t>Functions as a To-do list for schools to Endorse students, confirming they are attending. Links to the Parent Endorsement process within the School Choice Context.</t>
  </si>
  <si>
    <t>Functions as a To-do list for schools to Certify students (verifying cost and intent to attend). Links to the AnnualCertification aggregate within the School Choice Context.</t>
  </si>
  <si>
    <t>Roster for schools to verify graduation status of 12th graders who received funding. Addresses the GraduationDataReport requirement under School Obligations (G.S. 115C-562.5).</t>
  </si>
  <si>
    <t>Prompt and Collect program for new school registration and initial information collection. Relates to the School Entity and DNPE verification.</t>
  </si>
  <si>
    <t>Handles special payment scenarios, such as ACT testing reimbursement. Part of the Awarding &amp; Funding Context (Payment).</t>
  </si>
  <si>
    <t>Admin ability to change, retract, or pause awards (e.g., if a student fails income verification or fails minimum spending requirements). Supports the Awarding &amp; Funding Context and Compliance.</t>
  </si>
  <si>
    <t>Manages the task and remediation process for the 4% random selection of approved participants for income verification. Directly addresses the OS IncomeVerification aggregate and the statutory Verification Sample requirement (G.S. 115C-562.3).</t>
  </si>
  <si>
    <t>Implementation of the OS selection process, utilizing lottery/tiers, managing batches, and prioritizing renewal students. Directly addresses the Awarding &amp; Funding Context.</t>
  </si>
  <si>
    <t>Implementation of the Lottery Aggregates (random lottery assignment, ensuring all students in the same household share the same lottery number). Supports the Application &amp; Eligibility Context and the Awarding &amp; Funding Context.</t>
  </si>
  <si>
    <t>Building the ESA+ application, collecting eligibility information, including IEP submission timeline. Directly supports the Application &amp; Eligibility Context.</t>
  </si>
  <si>
    <t>Building the OS application, collecting eligibility information, and assigning an initial priority Tier upon submission. Directly supports the Application &amp; Eligibility Context.</t>
  </si>
  <si>
    <t>Defining triggers that require admin review/remediation, such as changes in Provider employee count requiring a Facility agreement update. Relates to the Compliance &amp; Agreements Context.</t>
  </si>
  <si>
    <t>Configuring award-specific rules, amounts, setting FPL amounts, defining household size increments for OS tiers, and configuring ESA+ award levels. Foundational epic for the Awarding &amp; Funding Context (AwardTier/AwardLevel).</t>
  </si>
  <si>
    <t>Allows parents to join the program, create an account, and complete the prompt and collect process. Core epic for the Application &amp; Eligibility Context and Parent Entity creation.</t>
  </si>
  <si>
    <t>Coordinating security levels and permissions with Entra tooling. Relates to Security &amp; Privacy NFRs and Identity &amp; RBAC.</t>
  </si>
  <si>
    <t>Defines the workflow that validates applicant data upon submission and kicks off remediation processes/tasks if validations fail. Core epic in the Application &amp; Eligibility Context and Compliance.</t>
  </si>
  <si>
    <t>Implements a centralized e-signature solution for all required Agreements across Providers, Schools, and Households (Parent Agreements, NPS agreements, W-9s). Directly supports the Compliance &amp; Agreements Context.</t>
  </si>
  <si>
    <t>Foundational epic enabling 2-way conversations between Providers/Specialists. Supports the Communications, Tasks &amp; Documents Context.</t>
  </si>
  <si>
    <t>A. Requirements Present in Matt’s Research but Not Explicitly Defined or Prioritized in K12 Jira Epics</t>
  </si>
  <si>
    <t>Matt's Research, derived from statutory legal requirements (G.S.) and detailed program rules, contains several specific, complex policy obligations and technical integration requirements that are either not visible as dedicated epics in the K12 Jira list or are only implied under broader contexts.</t>
  </si>
  <si>
    <t>Matt’s Research Requirement/Concept</t>
  </si>
  <si>
    <t>Research Context/Source</t>
  </si>
  <si>
    <t>Why it Appears Missing or Under-Represented in Jira Epics</t>
  </si>
  <si>
    <t>Annual Per Pupil Allocation Update</t>
  </si>
  <si>
    <t>Domicile Verification &amp; Inter-Agency Cooperation Context, G.S. 115C-562.3(c), Awarding &amp; Funding.</t>
  </si>
  <si>
    <t>Statutory mandate requires DPI to provide the average State per pupil allocation by December 1st annually to determine the maximum scholarship awards for the following year. While Jira has Fed Poverty Guideline Integration (K12-3137) and DPI Integration (K12-3133) for IEPs, there is no explicit epic tracking the receipt and processing of this crucial annual DPI financial data.</t>
  </si>
  <si>
    <t>School Financial Review Threshold (70+ Students)</t>
  </si>
  <si>
    <t>Nonpublic School Obligations (G.S. 115C-562.5), Compliance &amp; Agreements Context.</t>
  </si>
  <si>
    <t>Schools enrolling 70 or more scholarship students must contract a CPA for an annual financial review. Jira mentions Issue Tracking (K12-1766) and general School Compliance (K12-1820), but lacks a specific epic for detecting this threshold and triggering the required CPA review task or compliance monitoring.</t>
  </si>
  <si>
    <t>Household Authorization for State Agency Data Access</t>
  </si>
  <si>
    <t>Domicile Verification &amp; Inter-Agency Cooperation Context, G.S. 115C-562.3(b).</t>
  </si>
  <si>
    <t>Statutory requirement that applicant household members must authorize the Authority (SEAA) to access information from state agencies (Revenue, DHHS, DPI) for verification purposes. While Jira plans for RDS (K12-3844) and DPI (K12-3133) integration, the necessary explicit legal consent workflow/document capture for this authorization is not detailed as a distinct epic.</t>
  </si>
  <si>
    <t>ESA+ 3-Year Disability Re-evaluation Cycle</t>
  </si>
  <si>
    <t>Renewal &amp; Continuing Eligibility, DisabilityReevaluation Entity.</t>
  </si>
  <si>
    <t>Continuing ESA+ eligibility requires students to undergo a disability re-evaluation every three years, submitting an updated IEP or professional assessment. There is no explicit Jira epic dedicated to calculating and triggering the 3-year deadline notifications or tasks for this crucial renewal check.</t>
  </si>
  <si>
    <t>LEA Release Form Management Complexity</t>
  </si>
  <si>
    <t>Compliance &amp; Agreements Context, LEARelease Entity.</t>
  </si>
  <si>
    <t>The LEA Release must be signed annually by parents whose ESA+ students attend full-time nonpublic or home schools. While Jira includes this as a task (K12-1979), the research provides the precise enrollment-type logic (full-time nonpublic/home school) that triggers the requirement.</t>
  </si>
  <si>
    <t>ESA+ Accessory Timing Validation</t>
  </si>
  <si>
    <t>ESA+ Wallet, Purchasing &amp; Expenses Context, Policies, Rules, and Invariants.</t>
  </si>
  <si>
    <t>Accessories for educational technology must be purchased within 30 calendar days of the main device order and are limited to replacement once every 3 years. These strict policy enforcement rules for purchasing validation are not detailed in the Jira epics covering ClassWallet integration (K12-1989, K12-3219).</t>
  </si>
  <si>
    <t>Transportation Contract Validation</t>
  </si>
  <si>
    <t>Requires a signed contract between the parent and provider to be included with the first transportation invoice submitted through the ClassWallet workflow. This complex document validation rule specific to transportation payments is not explicitly listed in the Jira epics.</t>
  </si>
  <si>
    <t>--------------------------------------------------------------------------------</t>
  </si>
  <si>
    <t>B. Concepts and Features Present in K12 Jira Epics but Not Explicitly Detailed in Matt’s Research</t>
  </si>
  <si>
    <t>Matt's Research is a domain-focused analysis concentrating on statutory mandates, policies, and public-facing workflows. The K12 Jira Epics, conversely, contain many items related to internal tooling, organizational change management, technical implementation standards, and development process stability that are generally considered out of scope for a high-level DDD analysis.</t>
  </si>
  <si>
    <t>K12 Jira Epic/Concept</t>
  </si>
  <si>
    <t>Jira Key</t>
  </si>
  <si>
    <t>Why it Appears Missing in Matt’s Research</t>
  </si>
  <si>
    <t>Internal Efficiency/Call Center Tools</t>
  </si>
  <si>
    <t>K12-3213, K12-3681, K12-3680, K12-1096</t>
  </si>
  <si>
    <t>Epics focusing on enabling administrative staff efficiency: Phone Screenpop, Outbound Call Campaign, Integrated Dialing, and Impersonation Functionality (view-only for support staff). Matt’s Research refers to SEAA staff, but not these specific internal tool requirements.</t>
  </si>
  <si>
    <t>Technical/DevOps Standards</t>
  </si>
  <si>
    <t>K12-4132, K12-2934, K12-2537</t>
  </si>
  <si>
    <t>Epics defining the foundation of the platform: Technical Standards and Delivery Discipline (e.g., test coverage, CI/CD stability, coding standards), Continuous Integration Pipelines, and Disaster Recovery (DR). Matt’s Research addresses Availability &amp; Resilience as an NFR but does not detail the technical processes to achieve it.</t>
  </si>
  <si>
    <t>Internal Program Builder Tooling</t>
  </si>
  <si>
    <t>K12-1270, K12-1267, K12-1266, K12-925</t>
  </si>
  <si>
    <t>Epics concerning the technical functionality of the Enrollment Builder (EB) application itself: Program Preview and Publish, Error Handling, Versioning, and the ability for an Admin to build an enrollment program. Matt's Research relies on the concept of an Application but doesn't detail the internal construction tools used by SEAA Admins.</t>
  </si>
  <si>
    <t>Organizational Change Management</t>
  </si>
  <si>
    <t>K12-3637, K12-3640, K12-3591, K12-3641</t>
  </si>
  <si>
    <t>Epics focused on managing the transition to the new system for SEAA/CFI staff: Change Plan, Training Implementation, Readiness Assessment, and Go Live Support. Matt's Research is purely analytical and does not cover organizational transition strategy.</t>
  </si>
  <si>
    <t>Post-MVP UX/UI Enhancements</t>
  </si>
  <si>
    <t>K12-2778, K12-2777, K12-3264</t>
  </si>
  <si>
    <t>Features intended to improve the user experience beyond the core functional requirements: Tool Tips, FAQ Enhancements, and requests for new Prompt Components. Matt's Research lists Resource/Guide entities but does not prioritize UI/UX micro-enhancements.</t>
  </si>
  <si>
    <t>Microservices and Technical Architecture</t>
  </si>
  <si>
    <t>K12-4023, K12-4131, K12-4130</t>
  </si>
  <si>
    <t>Epics focused on foundational architectural decisions: Microservices Framework (to improve stability), Technology Roadmap, and System Topology documentation. Matt’s Research discusses the resulting Bounded Contexts and suggests an Implementation Plan but treats the specific choice of technology (e.g., microservices) as an implementation detail.</t>
  </si>
  <si>
    <t>Based exclusively on the K12 Jira Epics, the scope of this project is to develop and deploy a comprehensive, multi-user digital platform, My Portal K12, designed to manage the full lifecycle of the NC K12 scholarship programs (Opportunity Scholarship and ESA+). The scope is defined by core administrative and user-facing functionality, technical architecture standards, security, and migration of historical data.</t>
  </si>
  <si>
    <t>The project is structured around building distinct portals for different user groups (Household, School, Provider) and a centralized Admin Portal for SEAA specialists [K12-2076, K12-1747, K12-384].</t>
  </si>
  <si>
    <t>1. Core Program Functionality &amp; Management</t>
  </si>
  <si>
    <t>The functional scope covers the processes required to enroll participants, determine eligibility, manage awards, and handle compliance:</t>
  </si>
  <si>
    <t>• Enrollment and Application Intake: Building the prompt and collect programs for new Households [K12-1588], Providers [K12-3838, K12-142], and Schools [K12-1740] [K12-168]. This includes building the specific OS [K12-1682] and ESA+ [K12-1683] application components and enabling parents to add and manage student data [K12-1978, K12-3138]. The system must map data entered in the enrollment programs to the corresponding dashboard application fields [K12-2701, K12-3108].</t>
  </si>
  <si>
    <t>• Eligibility and Verification: Implementing the logic for determining OS eligibility and assigning Tier status [K12-1872] and ESA+ eligibility and funding level (base/advanced) [K12-1873]. This involves integrating with third-party systems like RDS for household address verification [K12-3844, K12-2964] and DPI for pulling student IEP data [K12-3133]. It also includes managing the Income Verification Task for the required percentage of OS applicants [K12-1686].</t>
  </si>
  <si>
    <t>• Awarding and Funding: Implementing the Lottery Process for both programs [K12-1684] and defining the administrative workflows for running the Awarding Selection and Offering Process for both OS [K12-1685] and ESA+ [K12-1770]. The scope includes configuring program-specific rules (FPL/Tiers) [K12-1589] and managing the financial life cycle transactions related to awards [K12-3935]. Admins must have the ability to make changes to award offers, including the ability to retract or pause awards [K12-1688].</t>
  </si>
  <si>
    <t>• Compliance and Agreements: Establishing the foundational system for digital agreement signing via PandaDocs [K12-81, K12-3131] for all program partners. This scope also includes implementing validation triggers (Invoke a Validator) for changes that require admin remediation [K12-1590] and managing the School Status and suspension state via Issue Tracking [K12-1766].</t>
  </si>
  <si>
    <t>• School Administration and Rosters: Building core school-specific dashboards [K12-1747, K12-1749] and rosters that function as to-do lists for Certification [K12-1743] and Endorsement [K12-1744] of students. This includes automating the Background Check requirement for the Head of Decision-Making Authority (HDMA) [K12-1795] and supporting management of school contacts [K12-3032, K12-3153].</t>
  </si>
  <si>
    <t>2. User Experience and Communications</t>
  </si>
  <si>
    <t>The project scope places a heavy emphasis on consistent user experience, communication, and self-service tools for all partners:</t>
  </si>
  <si>
    <t>• Dashboards and Portals: Building base dashboards for Households [K12-2076], Schools [K12-1747], and Providers [K12-432] with shared functionality for viewing alerts and notifications [K12-399].</t>
  </si>
  <si>
    <t>• Task Management: Implementing a structured task assignment system for Admins to create, assign, and manage tasks for Providers [K12-2716, K12-1164], Schools [K12-1860], and Households [K12-1979].</t>
  </si>
  <si>
    <t>• Messaging and Alerts: Implementing a full Communication Center capable of scheduling and sending emails/notifications and alert banners to program partners [K12-3624], creating rule-based communications [K12-3626], and providing the ability to retrieve historical communication records [K12-3625, K12-189].</t>
  </si>
  <si>
    <t>• Documentation and Support: Establishing a central Glossary to ensure consistent terminology [K12-3590], and providing tools like Tool Tips [K12-2778] and FAQ Enhancements [K12-2777].</t>
  </si>
  <si>
    <t>3. Technical Foundation, Security, and Architecture</t>
  </si>
  <si>
    <t>A significant portion of the scope is dedicated to establishing a stable, compliant, and scalable technology environment:</t>
  </si>
  <si>
    <t>• Architecture and Strategy: Defining the Technology Roadmap [K12-4131] and System Topology [K12-4130] for the platform. This includes moving toward a Microservices Framework to improve stability and performance, initially focusing on awarding and registration processes [K12-4023, K12-3463].</t>
  </si>
  <si>
    <t>• Security and Identity Management (IDM): Implementing Identity Management [K12-2577] and Role-Based Admin Security pages integrated with Entra tooling (formerly Azure AD) [K12-1587, K12-3056]. A critical component is the PID Generator Integration [K12-3132, K12-3651] to create permanent unique identifiers for parents and students, ensuring Admins use the PID instead of SSN [K12-21]. The scope also includes GEO Fencing for the K12 portal to restrict login access from blocked countries [K12-4072].</t>
  </si>
  <si>
    <t>• Development Standards and Quality: Defining and implementing Technical Standards and Delivery Discipline across front-end and back-end development, including setting test coverage expectations (targeting 70%) [K12-4132]. This also covers ADA Compliance [K12-4150], Continuous Integration Pipelines [K12-2934], and planning for Disaster Recovery (DR) [K12-2537].</t>
  </si>
  <si>
    <t>• Reporting and Data Access: Developing the Query Builder Tool to allow SEAA administrators to create, modify, and execute complex queries across program data [K12-3111, K12-170]. This tool is foundational for generating internal reports [K12-3189] and selecting communication recipients [K12-3398].</t>
  </si>
  <si>
    <t>• Data Migration: Planning the effort for data migration prep and planning [K12-3221] for Households [K12-3163], Providers [K12-3168], and Schools [K12-3164]. The goal is to migrate 3 academic years of historical data and ensure existing users retain access to their history upon logging into the new portal (Migrated Login epics) [K12-45, K12-46, K12-47].</t>
  </si>
  <si>
    <t>• Data Retention: Defining the policy for data lifecycle management, including keeping records for 5 years if funds were disbursed, and 12 months for incomplete enrollments [K12-3506, K12-3505].</t>
  </si>
  <si>
    <t>4. Operational and Support Readiness</t>
  </si>
  <si>
    <t>The scope includes preparing internal staff and tools for Go-Live and ongoing operations:</t>
  </si>
  <si>
    <t>• Internal Tools: Implementing tools to support Call Center operations, such as Integrated Dialing [K12-3680], Outbound Call Campaign functionality [K12-3681], and Phone Screenpop using the PID for quick record lookup [K12-3213].</t>
  </si>
  <si>
    <t>• Change Management: Executing a Change Plan [K12-3637] and Training Implementation [K12-3640] to ensure SEAA and CFI employees are prepared for the new K12 system. This includes performing a Readiness Assessment [K12-32] and providing Go Live Support [K12-23].</t>
  </si>
  <si>
    <t>Core Program Functionality &amp; Management</t>
  </si>
  <si>
    <t>Functional Area</t>
  </si>
  <si>
    <t>Alignment Jira Epic(s)</t>
  </si>
  <si>
    <t>The functional scope covering enrollment, eligibility, awards, and compliance processes.</t>
  </si>
  <si>
    <t>Technology Roadmap (K12-4131): Create roadmap to align technology systems with product roadmap and business objectives, including major systems like enrollment, awarding, communication, and reporting.&lt;br&gt;Academic Year Life Cycle Transaction Driven Model (K12-3935): Outline and detail key events that trigger transactions to be generated, tracked, and recorded during various stages in an academic year for students receiving OS or ESA+ awards.&lt;br&gt;Shared Scholarship Program Settings (K12-1788): Delivers a centralized configuration module for SEAA Administrators to manage annual, common settings for both ESA+ and OS programs.&lt;br&gt;Program-Specific Award Configurations (ESA+ and OS) (K12-1589): Enables configuration of award-specific rules and amounts unique to each program (e.g., FPL, tiers).</t>
  </si>
  <si>
    <t>Enrollment and Application Intake</t>
  </si>
  <si>
    <t>Building enrollment programs for Households, Providers, and Schools.</t>
  </si>
  <si>
    <t>Household Enrollment Program Build (BA) (K12-1588): Process for parents to join the K12 program, create an account, and go through the prompt and collect process.&lt;br&gt;New Provider Enrollment Build (K12-229): Buildout of the new provider enrollment process using Prompt and Collect screens.&lt;br&gt;Provider Enrollment Program Buildout (K12-3838): Build the actual V1 of the Provider Enrollment program.&lt;br&gt;School Intake Process- Program buildout (BA) (K12-1740): Covers the intake form for new schools to register with the K12 program, create a login, and land on the dashboard.</t>
  </si>
  <si>
    <t>Specific application components for OS and ESA+ (Parent/Household).</t>
  </si>
  <si>
    <t>OS application buildout (BA) (K12-1682): Where the parent enters all eligibility information for Opportunity Scholarship and where the tier is assigned.&lt;br&gt;ESA+ application buildout (BA) (K12-1683): Where the parent enters eligibility information for ESA+ scholarship, including information needed to determine award category based on disability type.</t>
  </si>
  <si>
    <t>Parental management of student data.</t>
  </si>
  <si>
    <t>My Students (K12-3138): Allows a parent to see and manage all students from within the dashboard, view/edit entered data, and update School Choice.&lt;br&gt;Add Students Enrollment Program Build (BA) (K12-1978): Building the program parents use to add children to their account and apply for scholarships.</t>
  </si>
  <si>
    <t>Mapping data entry to corresponding dashboard application fields.</t>
  </si>
  <si>
    <t>Mapping Data from EB to Client Application (K12-2701): Ensures data entered into the enrollment builder app is transferred and populated into the corresponding dashboard fields upon submission.&lt;br&gt;Enabler - Mapping Data from EB to Client Application (K12-3108): Runway work required for the implementation of the data mapping process.&lt;br&gt;My Household Page - Map application data (K12-3143): Ensures data entered during the enrollment program maps to a location on the dashboard for viewing and necessary updates.</t>
  </si>
  <si>
    <t>Eligibility and Verification</t>
  </si>
  <si>
    <t>Implementing logic for OS eligibility/Tier status and ESA+ eligibility/funding level.</t>
  </si>
  <si>
    <t>OS Eligibility Determination and Tier Assignment (K12-1872): Determines eligibility and assigns the appropriate income-based tier (1-4) utilizing application data and program settings.&lt;br&gt;ESA+ Eligibility Determination (K12-1873): Determines eligibility for ESA+ funding and assigns the level of funding (base or advanced) based on program configuration and application data.</t>
  </si>
  <si>
    <t>Integrating with third-party systems (RDS for address, DPI for IEP data).</t>
  </si>
  <si>
    <t>RDS Integration (K12-3844): Implementation epic for integrating with RDS (CFI owned) for validation of household address data, likely through an overnight batch job to verify residency for parents.&lt;br&gt;Enabler and RDS Integration (K12-2964): The enabler epic for the RDS integration work.&lt;br&gt;DPI Integration (K12-3133): Allows IEP data for students with disabilities to be pulled directly from DPI (Department of Public Instruction), shortening the process and ensuring necessary information is received.</t>
  </si>
  <si>
    <t>Managing the Income Verification Task for OS applicants.</t>
  </si>
  <si>
    <t>OS Income Verification Task and remediation for the 4% (K12-1686): Covers the ability for an NPS specialist to assign and remediate the Income Verification Task, including the random selection of 4% of approved participants for verification, and manually triggering the task if necessary.</t>
  </si>
  <si>
    <t>Awarding and Funding</t>
  </si>
  <si>
    <t>Implementing the Lottery Process for both programs.</t>
  </si>
  <si>
    <t>ESA+ &amp; OS Lottery Process Implementation (K12-1684): Implements the random lottery process for both programs, assigning numbers to eligible students and ensuring all students in the same household share the same lottery number.&lt;br&gt;ESA+ and OS | Award Program Data Setup (K12-1769): Designs and creates the necessary database tables to store household and student information required for running the lottery.</t>
  </si>
  <si>
    <t>Defining administrative workflows for Awarding Selection and Offering (OS &amp; ESA+).</t>
  </si>
  <si>
    <t>OS Awarding Selection and Offering Process (K12-1685): Enables SEAA Admin to run the awarding process, utilize lottery numbers and program settings, generate a list of students to award, and submit the list to generate award offers, tasks, and emails.&lt;br&gt;ESA+ Awarding Selection and Offering Process (K12-1770): Similar workflow to OS, allowing admins to run the awarding process utilizing lottery and program settings, often run in specified batch sizes.</t>
  </si>
  <si>
    <t>Configuring program-specific rules (FPL/Tiers).</t>
  </si>
  <si>
    <t>Program-Specific Award Configurations (ESA+ and OS) (K12-1589): Enables SEAA Administrators to configure FPL amounts, define household size increments, and set award amounts for the four OS income tiers, and configure the two ESA+ award levels.&lt;br&gt;Fed Poverty Guideline Integration (K12-3137): Discusses research and decision-making on automating the capture and input of Federal Poverty Guidelines data annually, which is used to determine Tiers.</t>
  </si>
  <si>
    <t>Managing financial life cycle transactions and award changes (retract/pause).</t>
  </si>
  <si>
    <t>Academic Year Life Cycle Transaction Driven Model (K12-3935): Outlines key events that trigger transactions to be generated, tracked, and recorded during various stages in an academic year.&lt;br&gt;Award Management and changes to offers (K12-1688): Provides admins a way to make changes to an award offer after it has been offered/accepted, including retracting or pausing awards.&lt;br&gt;Microservices Framework (K12-4023): Creates a new, independent microservice to handle all aspects of awarding in preparation for user registration, aimed at improving stability and performance.</t>
  </si>
  <si>
    <t>Compliance and Agreements</t>
  </si>
  <si>
    <t>Foundational system for digital agreement signing via PandaDocs.</t>
  </si>
  <si>
    <t>Panda Docs Implementation (Base) (K12-81): Implements PandaDocs as the centralized, automated e-signature solution for all required agreements across Providers, Schools, and Households.&lt;br&gt;Enabler for PandaDoc Implementation (K12-3131): Securing approval and an account for building in the PandaDoc API.</t>
  </si>
  <si>
    <t>Implementing validation triggers for changes requiring admin remediation.</t>
  </si>
  <si>
    <t>PENDING-Invoke a Validator (K12-1590): Determines what triggers an admin review and remediation, such as changes in Provider employee count requiring a different agreement, or changes to therapy offerings.&lt;br&gt;Compliance and ongoing remediation (K12-1820): General epic for flushing out ongoing compliance steps and remediation requirements.</t>
  </si>
  <si>
    <t>Managing School Status and suspension state via Issue Tracking.</t>
  </si>
  <si>
    <t>Issue Tracking (K12-1766): Manages the suspension (on hold) state of a school, which is part of the School Record. This includes setting the School Status (Green, Yellow, Red) and tracking if the suspension is due to certification, endorsement, or payment issues.</t>
  </si>
  <si>
    <t>School Administration and Rosters</t>
  </si>
  <si>
    <t>Building core school-specific dashboards and rosters.</t>
  </si>
  <si>
    <t>PI3 - Implement Schools Base Dashboard (same as Provider) (K12-1747): Provides a landing page (dashboard) for school contacts, utilizing existing Provider functionality.&lt;br&gt;PI3 - My School Page (K12-1749): Provides a page for schools to manage school details, contacts, and aid program eligibility.&lt;br&gt;School Record (K12-1767): Pulls together everything needed in one place to view and manage the school, including Issue Tracking and Rosters.</t>
  </si>
  <si>
    <t>Rosters function as to-do lists for Certification and Endorsement.</t>
  </si>
  <si>
    <t>Not Yet Certified Roster (K12-1743): An action list for School Contacts to Certify students who selected their school. This roster functions as a "To-do list" with the goal of being empty.&lt;br&gt;Not yet endorsed Roster (K12-1744): A roster of students confirmed to attend, awaiting school endorsement. This roster functions as a to-do list for the school to confirm attendance.</t>
  </si>
  <si>
    <t>Automating the Background Check for Head of Decision-Making Authority (HDMA).</t>
  </si>
  <si>
    <t>Background Check Automation for HDMA (K12-1795): Investigates automation for the Head of Decision-Making Authority's background check (currently via Castlebranch) to automatically update the system upon a 'passed' result and trigger the next steps (like docusign for the NPS agreement).</t>
  </si>
  <si>
    <t>Supporting management of school contacts.</t>
  </si>
  <si>
    <t>School Contacts (K12-3153): Creates the fields and process for displaying/capturing contact details and inviting new contacts to join the school.&lt;br&gt;Individual School Contact and Logins (K12-3032): Supports multiple school contacts, each with individual logins, and defines the HDMA role, including their sole responsibility for tasks like the background check and adding new contacts.</t>
  </si>
  <si>
    <t>User Experience and Communications</t>
  </si>
  <si>
    <t>Dashboards and Portals: Building base dashboards for Households, Schools, and Providers.</t>
  </si>
  <si>
    <t>Household Dashboard - Base (K12-2076): Serves as the parent's landing page to apply for and manage scholarships, designed to utilize much of the existing Provider functionality.&lt;br&gt;PI3 - Implement Schools Base Dashboard (same as Provider) (K12-1747): Provides the landing page for school contacts, intended to mirror the look and feel and functionality (e.g., header, navigation style, tasking) of the existing Provider Dashboard.&lt;br&gt;Provider Enrollment State Management-MVP (K12-478): Defines different statuses (e.g., Application Under Review, Approved) that determine what functionality is accessible on the Provider dashboard.&lt;br&gt;State Based Dashboard for School Administrators (K12-1762): Ensures the school dashboard responds accordingly to the school’s approval status (e.g., Submitted, Approved, Suspended), allowing or disallowing certain features.&lt;br&gt;My Household Page - Map application data (K12-3143): Creates a location on the parent dashboard where application data is mapped, viewable, and editable.&lt;br&gt;"My Provider" page build (K12-3916): Builds a new page on the Provider Application to hold details specific to the Provider's business and personal demographics, similar to the My Schools or My Household page.</t>
  </si>
  <si>
    <t>Dashboards and Portals: Shared functionality for viewing alerts and notifications.</t>
  </si>
  <si>
    <t>Alerts &amp; Notifications (1-way) -MVP (K12-399): Enables Providers to receive and manage notifications (appearing in the bell icon) and alerts (appearing as banners across the top of the dashboard). Providers also receive an automated email when a bell notification is sent.&lt;br&gt;School Page - Enhanced School Communication &amp; Notification System (K12-3913): Provides schools with a view of all communications (emails, banners, notifications) and a dashboard widget summarizing recent or overdue items, mirroring the existing "Provider" in-app notification system functionality.&lt;br&gt;Household Dashboard - Base (K12-2076): Requires alerts and notifications functionality, replicating the Provider's in-app system for Households.</t>
  </si>
  <si>
    <t>Task Management: Implementing a structured task assignment system for Admins to manage tasks for Providers, Schools, and Households.</t>
  </si>
  <si>
    <t>Administrative Management of Provider Tasks PI1 (K12-1164) / PI3 - Administrative Management of Provider Tasks (K12-2716): Delivers a structured task assignment system for admins to create, assign, and manage various provider-related tasks efficiently. This system includes defining different task types (Standard, Document Upload, Tasks with Sub-Tasks) and assignment methods (Manual Assignment).&lt;br&gt;Task Management for Schools (K12-1860): Allows NPS specialists to manage, assign, and create new tasks for schools (currently 15 task types exist), including document uploads and reminders for system duties (like roster duties).&lt;br&gt;Tasks needed for Households (K12-1979): Focuses on creating and assigning specific tasks to parents (Households) to maintain good standing, such as Income Verification, Residency Verification, and accepting/declining awards.&lt;br&gt;Admin Work Queue (K12-525): Provides a centralized queue for Scholarship Specialists to review, prioritize, assign, and manage all new and non-closed tasks efficiently within the admin team.</t>
  </si>
  <si>
    <t>Messaging and Alerts (Communication Center): Scheduling and sending emails/notifications and alert banners.</t>
  </si>
  <si>
    <t>Communication Center: schedule and send emails/notifications and alert banners (K12-3624): Enables scholarship specialists to schedule emails, notifications, and alert banners for future dates, using available templates.&lt;br&gt;Communication Center: create templates (K12-526): Defines that templates are needed for emails/notifications and alerts, as emails and notifications are always sent together.&lt;br&gt;Communication Center: use query builder to identify recipients (K12-3398): Allows SEAA specialists to target specific groups of people based on common data using a query builder when scheduling communications.&lt;br&gt;Enabler - Query usage for Communications (K12-3283): Enables the use of Saved Queries or Ad-hoc queries generated in the Query Builder tool to populate the recipient field for communications and tasks.</t>
  </si>
  <si>
    <t>Messaging and Alerts (Communication Center): Creating rule-based communications.</t>
  </si>
  <si>
    <t>Communication Center: create rule-based communications (K12-3626): Allows communications to be sent to program partners automatically based on certain conditions, eliminating the need for specialists to manually create communications for frequent events.</t>
  </si>
  <si>
    <t>Messaging and Alerts (Communication Center): Providing ability to retrieve historical communication records.</t>
  </si>
  <si>
    <t>Communications Center: retrieve historical records (K12-3625): Provides scholarship specialists with the ability to see all records of emails, notifications, and alert banners sent to a program partner (e.g., Providers), including date/time sent, received, and read/dismissed.</t>
  </si>
  <si>
    <t>Documentation and Support: Establishing a central Glossary for consistent terminology.</t>
  </si>
  <si>
    <t>Glossary (K12-3590): Creates a central, easily accessible resource to clarify jargon, technical terms, and unique concepts related to SEAA and K12, ensuring consistent terminology for all users, internal and external.</t>
  </si>
  <si>
    <t>Documentation and Support: Providing tools like Tool Tips and FAQ Enhancements.</t>
  </si>
  <si>
    <t>Tool Tips (K12-2778): Focuses on adding appropriate tool tips throughout the program.&lt;br&gt;FAQ Enhancements (K12-2777): Addresses desired features for enhancing the FAQ.&lt;br&gt;Go Live Support (K12-3641): Includes the goal of creating an FAQ document to proactively answer common questions.&lt;br&gt;Resources (K12-874): Mentions tool tips and FAQs as resource components.</t>
  </si>
  <si>
    <t>Technical Foundation, Security, and Architecture</t>
  </si>
  <si>
    <t>Architecture and Strategy: Defining the Technology Roadmap and System Topology.</t>
  </si>
  <si>
    <t>Technology Roadmap (K12-4131): Creates a roadmap to align technology systems with product roadmap, business objectives, and goals, including domain diagrams of systems showing relationships/dependencies.&lt;br&gt;System Topology (K12-4130): Provides high- and low-level documentation of system architecture, including network and system diagrams.</t>
  </si>
  <si>
    <t>Architecture and Strategy: Moving toward a Microservices Framework (initially for awarding and registration).</t>
  </si>
  <si>
    <t>Microservices Framework (K12-4023): Creates a new, independent microservice to handle all aspects of awarding in preparation for user registration, aiming to improve stability and performance.&lt;br&gt;Refinement of Microservices Architecture (K12-3463): An epic focusing on the architecture refinement, scheduled to wrap up in PI2.</t>
  </si>
  <si>
    <t>Security and Identity Management (IDM): Implementing IDM and Role-Based Admin Security (integrated with Entra tooling).</t>
  </si>
  <si>
    <t>Implement Identity Management (K12-2577): Establishes the foundation for user authentication and authorization.&lt;br&gt;Entra ID API Integration (K12-3056): Focuses on integrating the Entra ID API, which includes defining roles and permissions, and integrating Entra into the application.&lt;br&gt;Admin Security Pages - Role Based (K12-1587): Addresses the need for security levels to be set at a persona level for edit permissions, noting that the solution needs to be conversed with what the Entra tooling supports.&lt;br&gt;Miyagi-Do - Entra Integration Work (K12-3274), Cobra Kai - Entra Integration Work (K12-3273), Byers Dojo - Entra Integration Work (K12-3272), and Eagle Fang - Entra Integration Work (K12-3271): Epics focused on completing the Entra Integration work.</t>
  </si>
  <si>
    <t>Security and Identity Management (IDM): PID Generator Integration to create unique identifiers (replacing SSN for Admins).</t>
  </si>
  <si>
    <t>Integrate with PID Generator for Households (K12-3132): Aims to align the new K12 system to integrate with a PID generator. Upon household account creation, a PID is generated for all parents and students, serving as a unique and permanent identifier. SEAA Admins will only use the PID when identifying and communicating with households, replacing the use of the SSN.&lt;br&gt;Enabler- Determine the Solution for PID Generator for Households (K12-3651): The enabler epic for the PID integration work.</t>
  </si>
  <si>
    <t>Security and Identity Management (IDM): GEO Fencing to restrict login access from blocked countries.</t>
  </si>
  <si>
    <t>GEO Fencing for My Portal K12 (K12-4072): Implements guidelines around who can log in to the system and from where. This includes updating the error message for logins from blocked countries and allowing for individual exceptions to the access rule. Allowed countries include the United States, Canada, Puerto Rico, and the United States Minor Outlying Islands.</t>
  </si>
  <si>
    <t>Development Standards and Quality: Defining and implementing Technical Standards and Delivery Discipline (e.g., 70% test coverage).</t>
  </si>
  <si>
    <t>Technical Standards and Practice (K12-4132): Focuses on aligning standards across development teams, including defining coding standards, conventions for data access, API usage, logging, error handling, and setting test coverage expectations (targeting 70% on key features).</t>
  </si>
  <si>
    <t>Development Standards and Quality: Implementing ADA Compliance and Continuous Integration Pipelines.</t>
  </si>
  <si>
    <t>Implement ADA Compliance Practices in Development (K12-4150): Requires developers to identify areas where ADA compliance needs updating and to create a process where all future UI work must be ADA Compliant.&lt;br&gt;Continuous Integration Pipelines (K12-2934): Focuses on identifying and implementing standards for the deploy process, deciding on branch protection and PR rules, and implementing security/quality tools like SonarQube.&lt;br&gt;Continuous deployment(pipelines/ processes) (K12-2935): Related epic for continuous deployment.</t>
  </si>
  <si>
    <t>Development Standards and Quality: Planning for Disaster Recovery (DR).</t>
  </si>
  <si>
    <t>Disaster Recovery (DR) (K12-2537): Acknowledges that a disaster recovery failover site is being created during the architecture design phase. Planning for this will leverage guiding principles like auto-scaling and multi-region capacity to reconstitute production if an outage occurs.</t>
  </si>
  <si>
    <t>Reporting and Data Access: Developing the Query Builder Tool for SEAA administrators to create, modify, and execute queries. Tool is foundational for internal reports and selecting communication recipients.</t>
  </si>
  <si>
    <t>Query Builder Tool (K12-1250): A high-priority epic addressing the lack of a robust, intuitive way for administrators to create, manage, and act upon queries across student, school, and provider data. The goal is a full-featured tool that allows creation/execution of ad-hoc queries, saving/modifying queries, exporting results, and integrating saved queries into administrative features (like communications and tasking).&lt;br&gt;Enabler - Query Builder Tool (K12-3111): The initial enabler epic for the Query Builder feature.&lt;br&gt;Communication Center: use query builder to identify recipients (K12-3398): Allows specialists scheduling communications to target specific groups using the query builder.&lt;br&gt;Enabler - Query usage for Communications (K12-3283): Focuses on utilizing saved or ad-hoc queries generated in the Query Builder tool to populate the recipient field for communications and tasks.</t>
  </si>
  <si>
    <t>Data Migration: Planning for data migration of Households, Providers, and Schools. Goal: Migrate three academic years of historical data.</t>
  </si>
  <si>
    <t>Data migration prep and planning (K12-3221): Capacity saved ahead of time for discovery and planning related to the actual data migration, which is anticipated for PI6.&lt;br&gt;Household Data Migration (K12-3163): Mapping and execution of 3 academic years of Household data migration from the legacy to the K12 portal.&lt;br&gt;Provider Data Migration (K12-3168): Mapping and execution of 3 academic years of Provider data migration.&lt;br&gt;Schools Data Migration (K12-3164): Mapping and execution of 3 academic years of School data migration.</t>
  </si>
  <si>
    <t>Data Migration: Ensure existing users retain access to their history (Migrated Login epics).</t>
  </si>
  <si>
    <t>Migrated Household Login (K12-3166): Ensures that a household with an active legacy account, when logging into the K12 portal, has all previous data (students, applications, history) associated with their specific login account and tied to their PID number.&lt;br&gt;Migrated Provider Login (K12-3167): Ensures providers retain their previous data history when logging into the new portal.&lt;br&gt;Migrated Schools Login (K12-3165): Ensures schools retain all previous data history tied to their account when logging into the new portal.</t>
  </si>
  <si>
    <t>Data Retention: Defining the policy: Keep records for 5 years if funds disbursed, 12 months for incomplete enrollments.</t>
  </si>
  <si>
    <t>Student Data Retention (K12-3506): Defines a 5-year retention schedule for anything related to awarded scholarships (5 years from when the student stops using funding).&lt;br&gt;Data Retention - Incomplete HH enrollment (K12-3505): Records must be kept for 12 months if no funds disbursed.</t>
  </si>
  <si>
    <t>Operational and Support Readiness</t>
  </si>
  <si>
    <t>Internal Tools (Call Center): Integrated Dialing and Outbound Call Campaign functionality.</t>
  </si>
  <si>
    <t>Integrated Dialing (K12-3680): Allows all Admins (including call center, scholarship specialists, and NPS specialists) in the Admin Portal to click on a phone number in the Account Record, which launches the softphone and auto dials the number.&lt;br&gt;Outbound Call Campaign (K12-3681): Enables an Admin to create a query or report based on specific criteria to scope out a Call Campaign. The Admin can then work through the query, selecting the phone number to automatically dial, and when the Admin updates the relevant field, the result falls off of the list, dynamically updating the campaign.</t>
  </si>
  <si>
    <t>Internal Tools (Call Center): Providing Phone Screenpop using the PID for quick record lookup.</t>
  </si>
  <si>
    <t>Phone Screenpop (K12-3213): Implements the functionality where a caller inputs their PID (unique identifier) into the IVR. When the Call Counselor receives the call, the phone system passes the PID into the Search field in the Admin Portal, automatically looking up the PID and popping up the Account Record of the caller for quick record access.&lt;br&gt;(Context: The PID is a unique identifier used by the Call Center and other Admins to uniquely identify people, replacing the use of the SSN in communication with households.)</t>
  </si>
  <si>
    <t>Change Management: Executing a Change Plan and Training Implementation for SEAA and CFI employees.</t>
  </si>
  <si>
    <t>Change Plan (K12-3637): Focuses on aligning and driving effective change management to ensure a successful transition of K12 to CFI/SEAA. The scope includes identifying communications necessary for key stakeholders at SEAA, CFI, and Randstad.&lt;br&gt;Training Implementation (K12-3640): Ensures that CFI and SEAA employees who will support K12 are sufficiently trained and skilled to perform their jobs within the new system, covering the development and delivery of necessary training.</t>
  </si>
  <si>
    <t>Change Management: Performing a Readiness Assessment.</t>
  </si>
  <si>
    <t>Readiness Assessment (K12-3591): Provides stakeholders with an assessment of the organization's readiness for change. The scope includes understanding the populations impacted by the new K12 system, the type of change impact affecting them, and aligning on the scope of training/work owned by Randstad versus delivered internally.</t>
  </si>
  <si>
    <t>Change Management: Providing Go Live Support.</t>
  </si>
  <si>
    <t>Go Live Support (K12-3641): Aims to enable a smooth transition from development to operations by establishing a clear support system for users post-go-live. This includes creating an FAQ document to proactively answer common questions, having a documented rollback plan ready for major deployments, and setting up a war room/help desk support for a defined period to triage and resolve questions or problems.</t>
  </si>
  <si>
    <t>Data Transfer at Go Live</t>
  </si>
  <si>
    <t>Academic Year Life Cycle Transaction Driven Model (K12-3935): Notes that student-level balances will need to accurately transfer into the new system at the time of Go Live.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</si>
</sst>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scheme val="minor"/>
    </font>
    <font>
      <sz val="11.0"/>
      <color rgb="FF131314"/>
      <name val="&quot;Google Sans Text&quot;"/>
    </font>
    <font>
      <b/>
      <sz val="11.0"/>
      <color rgb="FF131314"/>
      <name val="&quot;Google Sans Text&quot;"/>
    </font>
    <font>
      <sz val="12.0"/>
      <color rgb="FF131314"/>
      <name val="&quot;Times New Roman&quot;"/>
    </font>
    <font>
      <b/>
      <sz val="12.0"/>
      <color rgb="FF131314"/>
      <name val="&quot;Times New Roman&quot;"/>
    </font>
    <font>
      <sz val="9.0"/>
      <color rgb="FF444746"/>
      <name val="&quot;Google Sans Mono&quot;"/>
    </font>
    <font>
      <sz val="12.0"/>
      <color rgb="FF47484C"/>
      <name val="&quot;Times New Roman&quot;"/>
    </font>
  </fonts>
  <fills count="5">
    <fill>
      <patternFill patternType="none"/>
    </fill>
    <fill>
      <patternFill patternType="lightGray"/>
    </fill>
    <fill>
      <patternFill patternType="solid">
        <fgColor rgb="FFFFFFFF"/>
        <bgColor rgb="FFFFFFFF"/>
      </patternFill>
    </fill>
    <fill>
      <patternFill patternType="solid">
        <fgColor rgb="FFDDE3EA"/>
        <bgColor rgb="FFDDE3EA"/>
      </patternFill>
    </fill>
    <fill>
      <patternFill patternType="solid">
        <fgColor rgb="FFEDEFFA"/>
        <bgColor rgb="FFEDEFFA"/>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shrinkToFit="0" wrapText="1"/>
    </xf>
    <xf borderId="0" fillId="0" fontId="2"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horizontal="left" shrinkToFit="0" wrapText="1"/>
    </xf>
    <xf borderId="0" fillId="2" fontId="3" numFmtId="0" xfId="0" applyAlignment="1" applyFill="1" applyFont="1">
      <alignment horizontal="left" readingOrder="0" shrinkToFit="0" vertical="top" wrapText="0"/>
    </xf>
    <xf borderId="0" fillId="0" fontId="1" numFmtId="0" xfId="0" applyAlignment="1" applyFont="1">
      <alignment horizontal="left" shrinkToFit="0" vertical="top" wrapText="0"/>
    </xf>
    <xf borderId="0" fillId="2" fontId="3" numFmtId="0" xfId="0" applyAlignment="1" applyFont="1">
      <alignment horizontal="left" readingOrder="0" shrinkToFit="0" vertical="top" wrapText="1"/>
    </xf>
    <xf borderId="0" fillId="0" fontId="1" numFmtId="0" xfId="0" applyAlignment="1" applyFont="1">
      <alignment horizontal="left" vertical="top"/>
    </xf>
    <xf borderId="0" fillId="2" fontId="4" numFmtId="0" xfId="0" applyAlignment="1" applyFont="1">
      <alignment horizontal="left" readingOrder="0" shrinkToFit="0" vertical="top" wrapText="1"/>
    </xf>
    <xf borderId="0" fillId="0" fontId="1" numFmtId="0" xfId="0" applyAlignment="1" applyFont="1">
      <alignment horizontal="left" shrinkToFit="0" vertical="top" wrapText="1"/>
    </xf>
    <xf borderId="0" fillId="2" fontId="4" numFmtId="0" xfId="0" applyAlignment="1" applyFont="1">
      <alignment horizontal="left" readingOrder="0" shrinkToFit="0" vertical="top" wrapText="0"/>
    </xf>
    <xf borderId="0" fillId="2" fontId="4" numFmtId="0" xfId="0" applyAlignment="1" applyFont="1">
      <alignment readingOrder="0" shrinkToFit="0" wrapText="1"/>
    </xf>
    <xf borderId="0" fillId="2" fontId="3" numFmtId="0" xfId="0" applyAlignment="1" applyFont="1">
      <alignment readingOrder="0" shrinkToFit="0" wrapText="1"/>
    </xf>
    <xf borderId="0" fillId="0" fontId="5" numFmtId="0" xfId="0" applyAlignment="1" applyFont="1">
      <alignment readingOrder="0" shrinkToFit="0" vertical="top" wrapText="1"/>
    </xf>
    <xf borderId="0" fillId="0" fontId="1" numFmtId="0" xfId="0" applyAlignment="1" applyFont="1">
      <alignment vertical="top"/>
    </xf>
    <xf borderId="0" fillId="0" fontId="6" numFmtId="0" xfId="0" applyAlignment="1" applyFont="1">
      <alignment readingOrder="0" shrinkToFit="0" vertical="top" wrapText="1"/>
    </xf>
    <xf borderId="0" fillId="3" fontId="7" numFmtId="0" xfId="0" applyFill="1" applyFont="1"/>
    <xf borderId="0" fillId="4" fontId="8"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s>
  <sheetData>
    <row r="1">
      <c r="A1" s="1" t="s">
        <v>0</v>
      </c>
    </row>
    <row r="3">
      <c r="A3" s="1" t="s">
        <v>1</v>
      </c>
      <c r="C3" s="2" t="str">
        <f>IFERROR(__xludf.DUMMYFUNCTION("JOIN("", "",ARRAYFORMULA(IFERROR(REGEXEXTRACT(B3,""(K12-\d+)""))))"),"")</f>
        <v/>
      </c>
    </row>
    <row r="4">
      <c r="C4" s="2" t="str">
        <f>IFERROR(__xludf.DUMMYFUNCTION("JOIN("", "",ARRAYFORMULA(IFERROR(REGEXEXTRACT(B4,""(K12-\d+)""))))"),"")</f>
        <v/>
      </c>
    </row>
    <row r="5">
      <c r="A5" s="3" t="s">
        <v>2</v>
      </c>
      <c r="B5" s="3" t="s">
        <v>3</v>
      </c>
      <c r="C5" s="3" t="str">
        <f>IFERROR(__xludf.DUMMYFUNCTION("JOIN("", "",ARRAYFORMULA(IFERROR(REGEXEXTRACT(B5,""(K12-\d+)""))))"),"")</f>
        <v/>
      </c>
      <c r="D5" s="3"/>
      <c r="E5" s="3"/>
    </row>
    <row r="6">
      <c r="A6" s="4" t="s">
        <v>4</v>
      </c>
      <c r="B6" s="4" t="s">
        <v>5</v>
      </c>
      <c r="C6" s="4" t="str">
        <f>IFERROR(__xludf.DUMMYFUNCTION("TEXTJOIN("", "", TRUE, IFERROR(REGEXEXTRACT(B6, ""(K12-\d+)"")))"),"K12-4150")</f>
        <v>K12-4150</v>
      </c>
      <c r="D6" s="5"/>
      <c r="E6" s="5"/>
    </row>
    <row r="7">
      <c r="A7" s="4" t="s">
        <v>6</v>
      </c>
      <c r="B7" s="4" t="s">
        <v>7</v>
      </c>
      <c r="C7" s="4" t="str">
        <f>IFERROR(__xludf.DUMMYFUNCTION("TEXTJOIN("", "", TRUE, IFERROR(REGEXEXTRACT(B7, ""(K12-\d+)"")))"),"K12-4072")</f>
        <v>K12-4072</v>
      </c>
      <c r="D7" s="5"/>
      <c r="E7" s="5"/>
    </row>
    <row r="8">
      <c r="A8" s="4" t="s">
        <v>8</v>
      </c>
      <c r="B8" s="4" t="s">
        <v>9</v>
      </c>
      <c r="C8" s="4" t="str">
        <f>IFERROR(__xludf.DUMMYFUNCTION("TEXTJOIN("", "", TRUE, IFERROR(REGEXEXTRACT(B8, ""(K12-\d+)"")))"),"K12-4023")</f>
        <v>K12-4023</v>
      </c>
      <c r="D8" s="5"/>
      <c r="E8" s="5"/>
    </row>
    <row r="9">
      <c r="A9" s="4" t="s">
        <v>10</v>
      </c>
      <c r="B9" s="4" t="s">
        <v>11</v>
      </c>
      <c r="C9" s="4" t="str">
        <f>IFERROR(__xludf.DUMMYFUNCTION("TEXTJOIN("", "", TRUE, IFERROR(REGEXEXTRACT(B9, ""(K12-\d+)"")))"),"K12-3935")</f>
        <v>K12-3935</v>
      </c>
      <c r="D9" s="5"/>
      <c r="E9" s="5"/>
    </row>
    <row r="10">
      <c r="A10" s="4" t="s">
        <v>12</v>
      </c>
      <c r="B10" s="4" t="s">
        <v>13</v>
      </c>
      <c r="C10" s="4" t="str">
        <f>IFERROR(__xludf.DUMMYFUNCTION("TEXTJOIN("", "", TRUE, IFERROR(REGEXEXTRACT(B10, ""(K12-\d+)"")))"),"K12-3916")</f>
        <v>K12-3916</v>
      </c>
      <c r="D10" s="5"/>
      <c r="E10" s="5"/>
    </row>
    <row r="11">
      <c r="A11" s="4" t="s">
        <v>14</v>
      </c>
      <c r="B11" s="4" t="s">
        <v>15</v>
      </c>
      <c r="C11" s="4" t="str">
        <f>IFERROR(__xludf.DUMMYFUNCTION("TEXTJOIN("", "", TRUE, IFERROR(REGEXEXTRACT(B11, ""(K12-\d+)"")))"),"K12-3913")</f>
        <v>K12-3913</v>
      </c>
      <c r="D11" s="5"/>
      <c r="E11" s="5"/>
    </row>
    <row r="12">
      <c r="A12" s="4" t="s">
        <v>16</v>
      </c>
      <c r="B12" s="4" t="s">
        <v>17</v>
      </c>
      <c r="C12" s="4" t="str">
        <f>IFERROR(__xludf.DUMMYFUNCTION("TEXTJOIN("", "", TRUE, IFERROR(REGEXEXTRACT(B12, ""(K12-\d+)"")))"),"K12-3844")</f>
        <v>K12-3844</v>
      </c>
      <c r="D12" s="5"/>
      <c r="E12" s="5"/>
    </row>
    <row r="13">
      <c r="A13" s="4" t="s">
        <v>18</v>
      </c>
      <c r="B13" s="4" t="s">
        <v>19</v>
      </c>
      <c r="C13" s="4" t="str">
        <f>IFERROR(__xludf.DUMMYFUNCTION("TEXTJOIN("", "", TRUE, IFERROR(REGEXEXTRACT(B13, ""(K12-\d+)"")))"),"K12-3838")</f>
        <v>K12-3838</v>
      </c>
      <c r="D13" s="5"/>
      <c r="E13" s="5"/>
    </row>
    <row r="14">
      <c r="A14" s="4" t="s">
        <v>20</v>
      </c>
      <c r="B14" s="4" t="s">
        <v>21</v>
      </c>
      <c r="C14" s="4" t="str">
        <f>IFERROR(__xludf.DUMMYFUNCTION("TEXTJOIN("", "", TRUE, IFERROR(REGEXEXTRACT(B14, ""(K12-\d+)"")))"),"K12-3651")</f>
        <v>K12-3651</v>
      </c>
      <c r="D14" s="5"/>
      <c r="E14" s="5"/>
    </row>
    <row r="15">
      <c r="A15" s="4" t="s">
        <v>22</v>
      </c>
      <c r="B15" s="4" t="s">
        <v>23</v>
      </c>
      <c r="C15" s="4" t="str">
        <f>IFERROR(__xludf.DUMMYFUNCTION("TEXTJOIN("", "", TRUE, IFERROR(REGEXEXTRACT(B15, ""(K12-\d+)"")))"),"K12-3626")</f>
        <v>K12-3626</v>
      </c>
      <c r="D15" s="5"/>
      <c r="E15" s="5"/>
    </row>
    <row r="16">
      <c r="A16" s="4" t="s">
        <v>24</v>
      </c>
      <c r="B16" s="4" t="s">
        <v>25</v>
      </c>
      <c r="C16" s="4" t="str">
        <f>IFERROR(__xludf.DUMMYFUNCTION("TEXTJOIN("", "", TRUE, IFERROR(REGEXEXTRACT(B16, ""(K12-\d+)"")))"),"K12-3625")</f>
        <v>K12-3625</v>
      </c>
      <c r="D16" s="5"/>
      <c r="E16" s="5"/>
    </row>
    <row r="17">
      <c r="A17" s="4" t="s">
        <v>26</v>
      </c>
      <c r="B17" s="4" t="s">
        <v>27</v>
      </c>
      <c r="C17" s="4" t="str">
        <f>IFERROR(__xludf.DUMMYFUNCTION("TEXTJOIN("", "", TRUE, IFERROR(REGEXEXTRACT(B17, ""(K12-\d+)"")))"),"K12-3624")</f>
        <v>K12-3624</v>
      </c>
      <c r="D17" s="5"/>
      <c r="E17" s="5"/>
    </row>
    <row r="18">
      <c r="A18" s="4" t="s">
        <v>28</v>
      </c>
      <c r="B18" s="4" t="s">
        <v>29</v>
      </c>
      <c r="C18" s="4" t="str">
        <f>IFERROR(__xludf.DUMMYFUNCTION("TEXTJOIN("", "", TRUE, IFERROR(REGEXEXTRACT(B18, ""(K12-\d+)"")))"),"K12-3590")</f>
        <v>K12-3590</v>
      </c>
      <c r="D18" s="5"/>
      <c r="E18" s="5"/>
    </row>
    <row r="19">
      <c r="A19" s="4" t="s">
        <v>30</v>
      </c>
      <c r="B19" s="4" t="s">
        <v>31</v>
      </c>
      <c r="C19" s="4" t="str">
        <f>IFERROR(__xludf.DUMMYFUNCTION("TEXTJOIN("", "", TRUE, IFERROR(REGEXEXTRACT(B19, ""(K12-\d+)"")))"),"K12-3506")</f>
        <v>K12-3506</v>
      </c>
      <c r="D19" s="5"/>
      <c r="E19" s="5"/>
    </row>
    <row r="20">
      <c r="A20" s="4" t="s">
        <v>32</v>
      </c>
      <c r="B20" s="4" t="s">
        <v>33</v>
      </c>
      <c r="C20" s="4" t="str">
        <f>IFERROR(__xludf.DUMMYFUNCTION("TEXTJOIN("", "", TRUE, IFERROR(REGEXEXTRACT(B20, ""(K12-\d+)"")))"),"K12-3398")</f>
        <v>K12-3398</v>
      </c>
      <c r="D20" s="5"/>
      <c r="E20" s="5"/>
    </row>
    <row r="21">
      <c r="A21" s="4" t="s">
        <v>34</v>
      </c>
      <c r="B21" s="4" t="s">
        <v>35</v>
      </c>
      <c r="C21" s="4" t="str">
        <f>IFERROR(__xludf.DUMMYFUNCTION("TEXTJOIN("", "", TRUE, IFERROR(REGEXEXTRACT(B21, ""(K12-\d+)"")))"),"K12-3217")</f>
        <v>K12-3217</v>
      </c>
      <c r="D21" s="5"/>
      <c r="E21" s="5"/>
    </row>
    <row r="22">
      <c r="A22" s="4" t="s">
        <v>36</v>
      </c>
      <c r="B22" s="4" t="s">
        <v>37</v>
      </c>
      <c r="C22" s="4" t="str">
        <f>IFERROR(__xludf.DUMMYFUNCTION("TEXTJOIN("", "", TRUE, IFERROR(REGEXEXTRACT(B22, ""(K12-\d+)"")))"),"K12-3213")</f>
        <v>K12-3213</v>
      </c>
      <c r="D22" s="5"/>
      <c r="E22" s="5"/>
    </row>
    <row r="23">
      <c r="A23" s="4" t="s">
        <v>38</v>
      </c>
      <c r="B23" s="4" t="s">
        <v>39</v>
      </c>
      <c r="C23" s="4" t="str">
        <f>IFERROR(__xludf.DUMMYFUNCTION("TEXTJOIN("", "", TRUE, IFERROR(REGEXEXTRACT(B23, ""(K12-\d+)"")))"),"K12-3189")</f>
        <v>K12-3189</v>
      </c>
      <c r="D23" s="5"/>
      <c r="E23" s="5"/>
    </row>
    <row r="24">
      <c r="A24" s="4" t="s">
        <v>40</v>
      </c>
      <c r="B24" s="4" t="s">
        <v>41</v>
      </c>
      <c r="C24" s="4" t="str">
        <f>IFERROR(__xludf.DUMMYFUNCTION("TEXTJOIN("", "", TRUE, IFERROR(REGEXEXTRACT(B24, ""(K12-\d+)"")))"),"K12-3168")</f>
        <v>K12-3168</v>
      </c>
      <c r="D24" s="5"/>
      <c r="E24" s="5"/>
    </row>
    <row r="25">
      <c r="A25" s="4" t="s">
        <v>42</v>
      </c>
      <c r="B25" s="4" t="s">
        <v>43</v>
      </c>
      <c r="C25" s="4" t="str">
        <f>IFERROR(__xludf.DUMMYFUNCTION("TEXTJOIN("", "", TRUE, IFERROR(REGEXEXTRACT(B25, ""(K12-\d+)"")))"),"K12-3166")</f>
        <v>K12-3166</v>
      </c>
      <c r="D25" s="5"/>
      <c r="E25" s="5"/>
    </row>
    <row r="26">
      <c r="A26" s="4" t="s">
        <v>44</v>
      </c>
      <c r="B26" s="4" t="s">
        <v>45</v>
      </c>
      <c r="C26" s="4" t="str">
        <f>IFERROR(__xludf.DUMMYFUNCTION("TEXTJOIN("", "", TRUE, IFERROR(REGEXEXTRACT(B26, ""(K12-\d+)"")))"),"K12-3146")</f>
        <v>K12-3146</v>
      </c>
      <c r="D26" s="5"/>
      <c r="E26" s="5"/>
    </row>
    <row r="27">
      <c r="A27" s="4" t="s">
        <v>46</v>
      </c>
      <c r="B27" s="4" t="s">
        <v>47</v>
      </c>
      <c r="C27" s="4" t="str">
        <f>IFERROR(__xludf.DUMMYFUNCTION("TEXTJOIN("", "", TRUE, IFERROR(REGEXEXTRACT(B27, ""(K12-\d+)"")))"),"K12-3144")</f>
        <v>K12-3144</v>
      </c>
      <c r="D27" s="5"/>
      <c r="E27" s="5"/>
    </row>
    <row r="28">
      <c r="A28" s="4" t="s">
        <v>48</v>
      </c>
      <c r="B28" s="4" t="s">
        <v>49</v>
      </c>
      <c r="C28" s="4" t="str">
        <f>IFERROR(__xludf.DUMMYFUNCTION("TEXTJOIN("", "", TRUE, IFERROR(REGEXEXTRACT(B28, ""(K12-\d+)"")))"),"K12-3138")</f>
        <v>K12-3138</v>
      </c>
      <c r="D28" s="5"/>
      <c r="E28" s="5"/>
    </row>
    <row r="29">
      <c r="A29" s="4" t="s">
        <v>50</v>
      </c>
      <c r="B29" s="4" t="s">
        <v>51</v>
      </c>
      <c r="C29" s="4" t="str">
        <f>IFERROR(__xludf.DUMMYFUNCTION("TEXTJOIN("", "", TRUE, IFERROR(REGEXEXTRACT(B29, ""(K12-\d+)"")))"),"K12-3137")</f>
        <v>K12-3137</v>
      </c>
      <c r="D29" s="5"/>
      <c r="E29" s="5"/>
    </row>
    <row r="30">
      <c r="A30" s="4" t="s">
        <v>52</v>
      </c>
      <c r="B30" s="4" t="s">
        <v>53</v>
      </c>
      <c r="C30" s="4" t="str">
        <f>IFERROR(__xludf.DUMMYFUNCTION("TEXTJOIN("", "", TRUE, IFERROR(REGEXEXTRACT(B30, ""(K12-\d+)"")))"),"K12-3133")</f>
        <v>K12-3133</v>
      </c>
      <c r="D30" s="5"/>
      <c r="E30" s="5"/>
    </row>
    <row r="31">
      <c r="A31" s="4" t="s">
        <v>54</v>
      </c>
      <c r="B31" s="4" t="s">
        <v>55</v>
      </c>
      <c r="C31" s="4" t="str">
        <f>IFERROR(__xludf.DUMMYFUNCTION("TEXTJOIN("", "", TRUE, IFERROR(REGEXEXTRACT(B31, ""(K12-\d+)"")))"),"K12-3132")</f>
        <v>K12-3132</v>
      </c>
      <c r="D31" s="5"/>
      <c r="E31" s="5"/>
    </row>
    <row r="32">
      <c r="A32" s="4" t="s">
        <v>56</v>
      </c>
      <c r="B32" s="4" t="s">
        <v>57</v>
      </c>
      <c r="C32" s="4" t="str">
        <f>IFERROR(__xludf.DUMMYFUNCTION("TEXTJOIN("", "", TRUE, IFERROR(REGEXEXTRACT(B32, ""(K12-\d+)"")))"),"K12-3111")</f>
        <v>K12-3111</v>
      </c>
      <c r="D32" s="5"/>
      <c r="E32" s="5"/>
    </row>
    <row r="33">
      <c r="A33" s="4" t="s">
        <v>58</v>
      </c>
      <c r="B33" s="4" t="s">
        <v>59</v>
      </c>
      <c r="C33" s="4" t="str">
        <f>IFERROR(__xludf.DUMMYFUNCTION("TEXTJOIN("", "", TRUE, IFERROR(REGEXEXTRACT(B33, ""(K12-\d+)"")))"),"K12-3108")</f>
        <v>K12-3108</v>
      </c>
      <c r="D33" s="5"/>
      <c r="E33" s="5"/>
    </row>
    <row r="34">
      <c r="A34" s="4" t="s">
        <v>60</v>
      </c>
      <c r="B34" s="4" t="s">
        <v>61</v>
      </c>
      <c r="C34" s="4" t="str">
        <f>IFERROR(__xludf.DUMMYFUNCTION("TEXTJOIN("", "", TRUE, IFERROR(REGEXEXTRACT(B34, ""(K12-\d+)"")))"),"K12-3090")</f>
        <v>K12-3090</v>
      </c>
      <c r="D34" s="5"/>
      <c r="E34" s="5"/>
    </row>
    <row r="35">
      <c r="A35" s="4" t="s">
        <v>62</v>
      </c>
      <c r="B35" s="4" t="s">
        <v>63</v>
      </c>
      <c r="C35" s="4" t="str">
        <f>IFERROR(__xludf.DUMMYFUNCTION("TEXTJOIN("", "", TRUE, IFERROR(REGEXEXTRACT(B35, ""(K12-\d+)"")))"),"K12-3032")</f>
        <v>K12-3032</v>
      </c>
      <c r="D35" s="5"/>
      <c r="E35" s="5"/>
    </row>
    <row r="36">
      <c r="A36" s="4" t="s">
        <v>64</v>
      </c>
      <c r="B36" s="4" t="s">
        <v>65</v>
      </c>
      <c r="C36" s="4" t="str">
        <f>IFERROR(__xludf.DUMMYFUNCTION("TEXTJOIN("", "", TRUE, IFERROR(REGEXEXTRACT(B36, ""(K12-\d+)"")))"),"K12-2964")</f>
        <v>K12-2964</v>
      </c>
      <c r="D36" s="5"/>
      <c r="E36" s="5"/>
    </row>
    <row r="37">
      <c r="A37" s="4" t="s">
        <v>66</v>
      </c>
      <c r="B37" s="4" t="s">
        <v>67</v>
      </c>
      <c r="C37" s="4" t="str">
        <f>IFERROR(__xludf.DUMMYFUNCTION("TEXTJOIN("", "", TRUE, IFERROR(REGEXEXTRACT(B37, ""(K12-\d+)"")))"),"K12-2933")</f>
        <v>K12-2933</v>
      </c>
      <c r="D37" s="5"/>
      <c r="E37" s="5"/>
    </row>
    <row r="38">
      <c r="A38" s="4" t="s">
        <v>68</v>
      </c>
      <c r="B38" s="4" t="s">
        <v>69</v>
      </c>
      <c r="C38" s="4" t="str">
        <f>IFERROR(__xludf.DUMMYFUNCTION("TEXTJOIN("", "", TRUE, IFERROR(REGEXEXTRACT(B38, ""(K12-\d+)"")))"),"K12-2829")</f>
        <v>K12-2829</v>
      </c>
      <c r="D38" s="5"/>
      <c r="E38" s="5"/>
    </row>
    <row r="39">
      <c r="A39" s="4" t="s">
        <v>70</v>
      </c>
      <c r="B39" s="4" t="s">
        <v>71</v>
      </c>
      <c r="C39" s="4" t="str">
        <f>IFERROR(__xludf.DUMMYFUNCTION("TEXTJOIN("", "", TRUE, IFERROR(REGEXEXTRACT(B39, ""(K12-\d+)"")))"),"K12-2580")</f>
        <v>K12-2580</v>
      </c>
      <c r="D39" s="5"/>
      <c r="E39" s="5"/>
    </row>
    <row r="40">
      <c r="A40" s="4" t="s">
        <v>72</v>
      </c>
      <c r="B40" s="4" t="s">
        <v>73</v>
      </c>
      <c r="C40" s="4" t="str">
        <f>IFERROR(__xludf.DUMMYFUNCTION("TEXTJOIN("", "", TRUE, IFERROR(REGEXEXTRACT(B40, ""(K12-\d+)"")))"),"K12-2537")</f>
        <v>K12-2537</v>
      </c>
      <c r="D40" s="5"/>
      <c r="E40" s="5"/>
    </row>
    <row r="41">
      <c r="A41" s="4" t="s">
        <v>74</v>
      </c>
      <c r="B41" s="4" t="s">
        <v>75</v>
      </c>
      <c r="C41" s="4" t="str">
        <f>IFERROR(__xludf.DUMMYFUNCTION("TEXTJOIN("", "", TRUE, IFERROR(REGEXEXTRACT(B41, ""(K12-\d+)"")))"),"K12-2306")</f>
        <v>K12-2306</v>
      </c>
      <c r="D41" s="5"/>
      <c r="E41" s="5"/>
    </row>
    <row r="42">
      <c r="A42" s="4" t="s">
        <v>76</v>
      </c>
      <c r="B42" s="4" t="s">
        <v>77</v>
      </c>
      <c r="C42" s="4" t="str">
        <f>IFERROR(__xludf.DUMMYFUNCTION("TEXTJOIN("", "", TRUE, IFERROR(REGEXEXTRACT(B42, ""(K12-\d+)"")))"),"K12-2290")</f>
        <v>K12-2290</v>
      </c>
      <c r="D42" s="5"/>
      <c r="E42" s="5"/>
    </row>
    <row r="43">
      <c r="A43" s="4" t="s">
        <v>78</v>
      </c>
      <c r="B43" s="4" t="s">
        <v>79</v>
      </c>
      <c r="C43" s="4" t="str">
        <f>IFERROR(__xludf.DUMMYFUNCTION("TEXTJOIN("", "", TRUE, IFERROR(REGEXEXTRACT(B43, ""(K12-\d+)"")))"),"K12-2076")</f>
        <v>K12-2076</v>
      </c>
      <c r="D43" s="5"/>
      <c r="E43" s="5"/>
    </row>
    <row r="44">
      <c r="A44" s="4" t="s">
        <v>80</v>
      </c>
      <c r="B44" s="4" t="s">
        <v>81</v>
      </c>
      <c r="C44" s="4" t="str">
        <f>IFERROR(__xludf.DUMMYFUNCTION("TEXTJOIN("", "", TRUE, IFERROR(REGEXEXTRACT(B44, ""(K12-\d+)"")))"),"K12-2036")</f>
        <v>K12-2036</v>
      </c>
      <c r="D44" s="5"/>
      <c r="E44" s="5"/>
    </row>
    <row r="45">
      <c r="A45" s="4" t="s">
        <v>82</v>
      </c>
      <c r="B45" s="4" t="s">
        <v>83</v>
      </c>
      <c r="C45" s="4" t="str">
        <f>IFERROR(__xludf.DUMMYFUNCTION("TEXTJOIN("", "", TRUE, IFERROR(REGEXEXTRACT(B45, ""(K12-\d+)"")))"),"K12-2031")</f>
        <v>K12-2031</v>
      </c>
      <c r="D45" s="5"/>
      <c r="E45" s="5"/>
    </row>
    <row r="46">
      <c r="A46" s="4" t="s">
        <v>84</v>
      </c>
      <c r="B46" s="4" t="s">
        <v>85</v>
      </c>
      <c r="C46" s="4" t="str">
        <f>IFERROR(__xludf.DUMMYFUNCTION("TEXTJOIN("", "", TRUE, IFERROR(REGEXEXTRACT(B46, ""(K12-\d+)"")))"),"K12-2030")</f>
        <v>K12-2030</v>
      </c>
      <c r="D46" s="5"/>
      <c r="E46" s="5"/>
    </row>
    <row r="47">
      <c r="A47" s="4" t="s">
        <v>86</v>
      </c>
      <c r="B47" s="4" t="s">
        <v>87</v>
      </c>
      <c r="C47" s="4" t="str">
        <f>IFERROR(__xludf.DUMMYFUNCTION("TEXTJOIN("", "", TRUE, IFERROR(REGEXEXTRACT(B47, ""(K12-\d+)"")))"),"K12-1989")</f>
        <v>K12-1989</v>
      </c>
      <c r="D47" s="5"/>
      <c r="E47" s="5"/>
    </row>
    <row r="48">
      <c r="A48" s="4" t="s">
        <v>88</v>
      </c>
      <c r="B48" s="4" t="s">
        <v>89</v>
      </c>
      <c r="C48" s="4" t="str">
        <f>IFERROR(__xludf.DUMMYFUNCTION("TEXTJOIN("", "", TRUE, IFERROR(REGEXEXTRACT(B48, ""(K12-\d+)"")))"),"K12-1979")</f>
        <v>K12-1979</v>
      </c>
      <c r="D48" s="5"/>
      <c r="E48" s="5"/>
    </row>
    <row r="49">
      <c r="A49" s="4" t="s">
        <v>90</v>
      </c>
      <c r="B49" s="4" t="s">
        <v>91</v>
      </c>
      <c r="C49" s="4" t="str">
        <f>IFERROR(__xludf.DUMMYFUNCTION("TEXTJOIN("", "", TRUE, IFERROR(REGEXEXTRACT(B49, ""(K12-\d+)"")))"),"K12-1978")</f>
        <v>K12-1978</v>
      </c>
      <c r="D49" s="5"/>
      <c r="E49" s="5"/>
    </row>
    <row r="50">
      <c r="A50" s="4" t="s">
        <v>92</v>
      </c>
      <c r="B50" s="4" t="s">
        <v>93</v>
      </c>
      <c r="C50" s="4" t="str">
        <f>IFERROR(__xludf.DUMMYFUNCTION("TEXTJOIN("", "", TRUE, IFERROR(REGEXEXTRACT(B50, ""(K12-\d+)"")))"),"K12-1873")</f>
        <v>K12-1873</v>
      </c>
      <c r="D50" s="5"/>
      <c r="E50" s="5"/>
    </row>
    <row r="51">
      <c r="A51" s="4" t="s">
        <v>94</v>
      </c>
      <c r="B51" s="4" t="s">
        <v>95</v>
      </c>
      <c r="C51" s="4" t="str">
        <f>IFERROR(__xludf.DUMMYFUNCTION("TEXTJOIN("", "", TRUE, IFERROR(REGEXEXTRACT(B51, ""(K12-\d+)"")))"),"K12-1872")</f>
        <v>K12-1872</v>
      </c>
      <c r="D51" s="5"/>
      <c r="E51" s="5"/>
    </row>
    <row r="52">
      <c r="A52" s="4" t="s">
        <v>96</v>
      </c>
      <c r="B52" s="4" t="s">
        <v>97</v>
      </c>
      <c r="C52" s="4" t="str">
        <f>IFERROR(__xludf.DUMMYFUNCTION("TEXTJOIN("", "", TRUE, IFERROR(REGEXEXTRACT(B52, ""(K12-\d+)"")))"),"K12-1860")</f>
        <v>K12-1860</v>
      </c>
      <c r="D52" s="5"/>
      <c r="E52" s="5"/>
    </row>
    <row r="53">
      <c r="A53" s="4" t="s">
        <v>98</v>
      </c>
      <c r="B53" s="4" t="s">
        <v>99</v>
      </c>
      <c r="C53" s="4" t="str">
        <f>IFERROR(__xludf.DUMMYFUNCTION("TEXTJOIN("", "", TRUE, IFERROR(REGEXEXTRACT(B53, ""(K12-\d+)"")))"),"K12-1795")</f>
        <v>K12-1795</v>
      </c>
      <c r="D53" s="5"/>
      <c r="E53" s="5"/>
    </row>
    <row r="54">
      <c r="A54" s="4" t="s">
        <v>100</v>
      </c>
      <c r="B54" s="4" t="s">
        <v>101</v>
      </c>
      <c r="C54" s="4" t="str">
        <f>IFERROR(__xludf.DUMMYFUNCTION("TEXTJOIN("", "", TRUE, IFERROR(REGEXEXTRACT(B54, ""(K12-\d+)"")))"),"K12-1792")</f>
        <v>K12-1792</v>
      </c>
      <c r="D54" s="5"/>
      <c r="E54" s="5"/>
    </row>
    <row r="55">
      <c r="A55" s="4" t="s">
        <v>102</v>
      </c>
      <c r="B55" s="4" t="s">
        <v>103</v>
      </c>
      <c r="C55" s="4" t="str">
        <f>IFERROR(__xludf.DUMMYFUNCTION("TEXTJOIN("", "", TRUE, IFERROR(REGEXEXTRACT(B55, ""(K12-\d+)"")))"),"K12-1788")</f>
        <v>K12-1788</v>
      </c>
      <c r="D55" s="5"/>
      <c r="E55" s="5"/>
    </row>
    <row r="56">
      <c r="A56" s="4" t="s">
        <v>104</v>
      </c>
      <c r="B56" s="4" t="s">
        <v>105</v>
      </c>
      <c r="C56" s="4" t="str">
        <f>IFERROR(__xludf.DUMMYFUNCTION("TEXTJOIN("", "", TRUE, IFERROR(REGEXEXTRACT(B56, ""(K12-\d+)"")))"),"K12-1770")</f>
        <v>K12-1770</v>
      </c>
      <c r="D56" s="5"/>
      <c r="E56" s="5"/>
    </row>
    <row r="57">
      <c r="A57" s="4" t="s">
        <v>106</v>
      </c>
      <c r="B57" s="4" t="s">
        <v>107</v>
      </c>
      <c r="C57" s="4" t="str">
        <f>IFERROR(__xludf.DUMMYFUNCTION("TEXTJOIN("", "", TRUE, IFERROR(REGEXEXTRACT(B57, ""(K12-\d+)"")))"),"")</f>
        <v/>
      </c>
      <c r="D57" s="4" t="s">
        <v>108</v>
      </c>
      <c r="E57" s="5"/>
    </row>
    <row r="58">
      <c r="A58" s="4" t="s">
        <v>109</v>
      </c>
      <c r="B58" s="4" t="s">
        <v>110</v>
      </c>
      <c r="C58" s="4" t="str">
        <f>IFERROR(__xludf.DUMMYFUNCTION("TEXTJOIN("", "", TRUE, IFERROR(REGEXEXTRACT(B58, ""(K12-\d+)"")))"),"K12-1767")</f>
        <v>K12-1767</v>
      </c>
      <c r="D58" s="5"/>
      <c r="E58" s="5"/>
    </row>
    <row r="59">
      <c r="A59" s="4" t="s">
        <v>111</v>
      </c>
      <c r="B59" s="4" t="s">
        <v>112</v>
      </c>
      <c r="C59" s="4" t="str">
        <f>IFERROR(__xludf.DUMMYFUNCTION("TEXTJOIN("", "", TRUE, IFERROR(REGEXEXTRACT(B59, ""(K12-\d+)"")))"),"K12-1766")</f>
        <v>K12-1766</v>
      </c>
      <c r="D59" s="5"/>
      <c r="E59" s="5"/>
    </row>
    <row r="60">
      <c r="A60" s="4" t="s">
        <v>113</v>
      </c>
      <c r="B60" s="4" t="s">
        <v>114</v>
      </c>
      <c r="C60" s="4" t="str">
        <f>IFERROR(__xludf.DUMMYFUNCTION("TEXTJOIN("", "", TRUE, IFERROR(REGEXEXTRACT(B60, ""(K12-\d+)"")))"),"K12-1765")</f>
        <v>K12-1765</v>
      </c>
      <c r="D60" s="5"/>
      <c r="E60" s="5"/>
    </row>
    <row r="61">
      <c r="A61" s="4" t="s">
        <v>115</v>
      </c>
      <c r="B61" s="4" t="s">
        <v>116</v>
      </c>
      <c r="C61" s="4" t="str">
        <f>IFERROR(__xludf.DUMMYFUNCTION("TEXTJOIN("", "", TRUE, IFERROR(REGEXEXTRACT(B61, ""(K12-\d+)"")))"),"K12-1764")</f>
        <v>K12-1764</v>
      </c>
      <c r="D61" s="5"/>
      <c r="E61" s="5"/>
    </row>
    <row r="62">
      <c r="A62" s="4" t="s">
        <v>117</v>
      </c>
      <c r="B62" s="4" t="s">
        <v>118</v>
      </c>
      <c r="C62" s="4" t="str">
        <f>IFERROR(__xludf.DUMMYFUNCTION("TEXTJOIN("", "", TRUE, IFERROR(REGEXEXTRACT(B62, ""(K12-\d+)"")))"),"K12-1763")</f>
        <v>K12-1763</v>
      </c>
      <c r="D62" s="5"/>
      <c r="E62" s="5"/>
    </row>
    <row r="63">
      <c r="A63" s="4" t="s">
        <v>119</v>
      </c>
      <c r="B63" s="4" t="s">
        <v>120</v>
      </c>
      <c r="C63" s="4" t="str">
        <f>IFERROR(__xludf.DUMMYFUNCTION("TEXTJOIN("", "", TRUE, IFERROR(REGEXEXTRACT(B63, ""(K12-\d+)"")))"),"K12-1755")</f>
        <v>K12-1755</v>
      </c>
      <c r="D63" s="5"/>
      <c r="E63" s="5"/>
    </row>
    <row r="64">
      <c r="A64" s="4" t="s">
        <v>121</v>
      </c>
      <c r="B64" s="4" t="s">
        <v>122</v>
      </c>
      <c r="C64" s="4" t="str">
        <f>IFERROR(__xludf.DUMMYFUNCTION("TEXTJOIN("", "", TRUE, IFERROR(REGEXEXTRACT(B64, ""(K12-\d+)"")))"),"K12-1751")</f>
        <v>K12-1751</v>
      </c>
      <c r="D64" s="5"/>
      <c r="E64" s="5"/>
    </row>
    <row r="65">
      <c r="A65" s="4" t="s">
        <v>123</v>
      </c>
      <c r="B65" s="4" t="s">
        <v>124</v>
      </c>
      <c r="C65" s="4" t="str">
        <f>IFERROR(__xludf.DUMMYFUNCTION("TEXTJOIN("", "", TRUE, IFERROR(REGEXEXTRACT(B65, ""(K12-\d+)"")))"),"K12-1745")</f>
        <v>K12-1745</v>
      </c>
      <c r="D65" s="5"/>
      <c r="E65" s="5"/>
    </row>
    <row r="66">
      <c r="A66" s="4" t="s">
        <v>125</v>
      </c>
      <c r="B66" s="4" t="s">
        <v>126</v>
      </c>
      <c r="C66" s="4" t="str">
        <f>IFERROR(__xludf.DUMMYFUNCTION("TEXTJOIN("", "", TRUE, IFERROR(REGEXEXTRACT(B66, ""(K12-\d+)"")))"),"K12-1744")</f>
        <v>K12-1744</v>
      </c>
      <c r="D66" s="5"/>
      <c r="E66" s="5"/>
    </row>
    <row r="67">
      <c r="A67" s="4" t="s">
        <v>127</v>
      </c>
      <c r="B67" s="4" t="s">
        <v>128</v>
      </c>
      <c r="C67" s="4" t="str">
        <f>IFERROR(__xludf.DUMMYFUNCTION("TEXTJOIN("", "", TRUE, IFERROR(REGEXEXTRACT(B67, ""(K12-\d+)"")))"),"K12-1743")</f>
        <v>K12-1743</v>
      </c>
      <c r="D67" s="5"/>
      <c r="E67" s="5"/>
    </row>
    <row r="68">
      <c r="A68" s="4" t="s">
        <v>129</v>
      </c>
      <c r="B68" s="4" t="s">
        <v>130</v>
      </c>
      <c r="C68" s="4" t="str">
        <f>IFERROR(__xludf.DUMMYFUNCTION("TEXTJOIN("", "", TRUE, IFERROR(REGEXEXTRACT(B68, ""(K12-\d+)"")))"),"K12-1742")</f>
        <v>K12-1742</v>
      </c>
      <c r="D68" s="5"/>
      <c r="E68" s="5"/>
    </row>
    <row r="69">
      <c r="A69" s="4" t="s">
        <v>131</v>
      </c>
      <c r="B69" s="4" t="s">
        <v>132</v>
      </c>
      <c r="C69" s="4" t="str">
        <f>IFERROR(__xludf.DUMMYFUNCTION("TEXTJOIN("", "", TRUE, IFERROR(REGEXEXTRACT(B69, ""(K12-\d+)"")))"),"K12-1740")</f>
        <v>K12-1740</v>
      </c>
      <c r="D69" s="5"/>
      <c r="E69" s="5"/>
    </row>
    <row r="70">
      <c r="A70" s="4" t="s">
        <v>133</v>
      </c>
      <c r="B70" s="4" t="s">
        <v>134</v>
      </c>
      <c r="C70" s="4" t="str">
        <f>IFERROR(__xludf.DUMMYFUNCTION("TEXTJOIN("", "", TRUE, IFERROR(REGEXEXTRACT(B70, ""(K12-\d+)"")))"),"K12-1696")</f>
        <v>K12-1696</v>
      </c>
      <c r="D70" s="5"/>
      <c r="E70" s="5"/>
    </row>
    <row r="71">
      <c r="A71" s="4" t="s">
        <v>135</v>
      </c>
      <c r="B71" s="4" t="s">
        <v>136</v>
      </c>
      <c r="C71" s="4" t="str">
        <f>IFERROR(__xludf.DUMMYFUNCTION("TEXTJOIN("", "", TRUE, IFERROR(REGEXEXTRACT(B71, ""(K12-\d+)"")))"),"K12-1688")</f>
        <v>K12-1688</v>
      </c>
      <c r="D71" s="5"/>
      <c r="E71" s="5"/>
    </row>
    <row r="72">
      <c r="A72" s="4" t="s">
        <v>137</v>
      </c>
      <c r="B72" s="4" t="s">
        <v>138</v>
      </c>
      <c r="C72" s="4" t="str">
        <f>IFERROR(__xludf.DUMMYFUNCTION("TEXTJOIN("", "", TRUE, IFERROR(REGEXEXTRACT(B72, ""(K12-\d+)"")))"),"K12-1686")</f>
        <v>K12-1686</v>
      </c>
      <c r="D72" s="5"/>
      <c r="E72" s="5"/>
    </row>
    <row r="73">
      <c r="A73" s="4" t="s">
        <v>139</v>
      </c>
      <c r="B73" s="4" t="s">
        <v>140</v>
      </c>
      <c r="C73" s="4" t="str">
        <f>IFERROR(__xludf.DUMMYFUNCTION("TEXTJOIN("", "", TRUE, IFERROR(REGEXEXTRACT(B73, ""(K12-\d+)"")))"),"K12-1685")</f>
        <v>K12-1685</v>
      </c>
      <c r="D73" s="5"/>
      <c r="E73" s="5"/>
    </row>
    <row r="74">
      <c r="A74" s="4" t="s">
        <v>141</v>
      </c>
      <c r="B74" s="4" t="s">
        <v>142</v>
      </c>
      <c r="C74" s="4" t="str">
        <f>IFERROR(__xludf.DUMMYFUNCTION("TEXTJOIN("", "", TRUE, IFERROR(REGEXEXTRACT(B74, ""(K12-\d+)"")))"),"K12-1684")</f>
        <v>K12-1684</v>
      </c>
      <c r="D74" s="5"/>
      <c r="E74" s="5"/>
    </row>
    <row r="75">
      <c r="A75" s="4" t="s">
        <v>143</v>
      </c>
      <c r="B75" s="4" t="s">
        <v>144</v>
      </c>
      <c r="C75" s="4" t="str">
        <f>IFERROR(__xludf.DUMMYFUNCTION("TEXTJOIN("", "", TRUE, IFERROR(REGEXEXTRACT(B75, ""(K12-\d+)"")))"),"K12-1683")</f>
        <v>K12-1683</v>
      </c>
      <c r="D75" s="5"/>
      <c r="E75" s="5"/>
    </row>
    <row r="76">
      <c r="A76" s="4" t="s">
        <v>145</v>
      </c>
      <c r="B76" s="4" t="s">
        <v>146</v>
      </c>
      <c r="C76" s="4" t="str">
        <f>IFERROR(__xludf.DUMMYFUNCTION("TEXTJOIN("", "", TRUE, IFERROR(REGEXEXTRACT(B76, ""(K12-\d+)"")))"),"K12-1682")</f>
        <v>K12-1682</v>
      </c>
      <c r="D76" s="5"/>
      <c r="E76" s="5"/>
    </row>
    <row r="77">
      <c r="A77" s="4" t="s">
        <v>147</v>
      </c>
      <c r="B77" s="4" t="s">
        <v>148</v>
      </c>
      <c r="C77" s="4" t="str">
        <f>IFERROR(__xludf.DUMMYFUNCTION("TEXTJOIN("", "", TRUE, IFERROR(REGEXEXTRACT(B77, ""(K12-\d+)"")))"),"K12-1590")</f>
        <v>K12-1590</v>
      </c>
      <c r="D77" s="5"/>
      <c r="E77" s="5"/>
    </row>
    <row r="78">
      <c r="A78" s="4" t="s">
        <v>149</v>
      </c>
      <c r="B78" s="4" t="s">
        <v>150</v>
      </c>
      <c r="C78" s="4" t="str">
        <f>IFERROR(__xludf.DUMMYFUNCTION("TEXTJOIN("", "", TRUE, IFERROR(REGEXEXTRACT(B78, ""(K12-\d+)"")))"),"K12-1589")</f>
        <v>K12-1589</v>
      </c>
      <c r="D78" s="5"/>
      <c r="E78" s="5"/>
    </row>
    <row r="79">
      <c r="A79" s="4" t="s">
        <v>151</v>
      </c>
      <c r="B79" s="4" t="s">
        <v>152</v>
      </c>
      <c r="C79" s="4" t="str">
        <f>IFERROR(__xludf.DUMMYFUNCTION("TEXTJOIN("", "", TRUE, IFERROR(REGEXEXTRACT(B79, ""(K12-\d+)"")))"),"K12-1588")</f>
        <v>K12-1588</v>
      </c>
      <c r="D79" s="5"/>
      <c r="E79" s="5"/>
    </row>
    <row r="80">
      <c r="A80" s="4" t="s">
        <v>153</v>
      </c>
      <c r="B80" s="4" t="s">
        <v>154</v>
      </c>
      <c r="C80" s="4" t="str">
        <f>IFERROR(__xludf.DUMMYFUNCTION("TEXTJOIN("", "", TRUE, IFERROR(REGEXEXTRACT(B80, ""(K12-\d+)"")))"),"K12-1587")</f>
        <v>K12-1587</v>
      </c>
      <c r="D80" s="5"/>
      <c r="E80" s="5"/>
    </row>
    <row r="81">
      <c r="A81" s="4" t="s">
        <v>155</v>
      </c>
      <c r="B81" s="4" t="s">
        <v>156</v>
      </c>
      <c r="C81" s="4" t="str">
        <f>IFERROR(__xludf.DUMMYFUNCTION("TEXTJOIN("", "", TRUE, IFERROR(REGEXEXTRACT(B81, ""(K12-\d+)"")))"),"K12-167")</f>
        <v>K12-167</v>
      </c>
      <c r="D81" s="5"/>
      <c r="E81" s="5"/>
    </row>
    <row r="82">
      <c r="A82" s="4" t="s">
        <v>157</v>
      </c>
      <c r="B82" s="4" t="s">
        <v>158</v>
      </c>
      <c r="C82" s="4" t="str">
        <f>IFERROR(__xludf.DUMMYFUNCTION("TEXTJOIN("", "", TRUE, IFERROR(REGEXEXTRACT(B82, ""(K12-\d+)"")))"),"K12-81")</f>
        <v>K12-81</v>
      </c>
      <c r="D82" s="5"/>
      <c r="E82" s="5"/>
    </row>
    <row r="83">
      <c r="A83" s="4" t="s">
        <v>159</v>
      </c>
      <c r="B83" s="4" t="s">
        <v>160</v>
      </c>
      <c r="C83" s="4" t="str">
        <f>IFERROR(__xludf.DUMMYFUNCTION("TEXTJOIN("", "", TRUE, IFERROR(REGEXEXTRACT(B83, ""(K12-\d+)"")))"),"K12-80")</f>
        <v>K12-80</v>
      </c>
      <c r="D83" s="5"/>
      <c r="E83"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3" max="3" width="44.38"/>
    <col customWidth="1" min="4" max="4" width="52.5"/>
  </cols>
  <sheetData>
    <row r="1">
      <c r="A1" s="1" t="s">
        <v>161</v>
      </c>
      <c r="D1" s="6"/>
    </row>
    <row r="2">
      <c r="D2" s="6"/>
    </row>
    <row r="3">
      <c r="A3" s="1" t="s">
        <v>162</v>
      </c>
      <c r="D3" s="6"/>
    </row>
    <row r="4">
      <c r="D4" s="6"/>
    </row>
    <row r="5">
      <c r="A5" s="7" t="s">
        <v>2</v>
      </c>
      <c r="B5" s="3" t="s">
        <v>3</v>
      </c>
      <c r="C5" s="7" t="s">
        <v>163</v>
      </c>
      <c r="D5" s="7" t="s">
        <v>164</v>
      </c>
    </row>
    <row r="6">
      <c r="A6" s="8" t="s">
        <v>4</v>
      </c>
      <c r="B6" s="4" t="s">
        <v>5</v>
      </c>
      <c r="C6" s="8" t="s">
        <v>165</v>
      </c>
      <c r="D6" s="9"/>
    </row>
    <row r="7">
      <c r="A7" s="8" t="s">
        <v>6</v>
      </c>
      <c r="B7" s="4" t="s">
        <v>7</v>
      </c>
      <c r="C7" s="8" t="s">
        <v>166</v>
      </c>
      <c r="D7" s="9"/>
    </row>
    <row r="8">
      <c r="A8" s="8" t="s">
        <v>8</v>
      </c>
      <c r="B8" s="4" t="s">
        <v>9</v>
      </c>
      <c r="C8" s="8" t="s">
        <v>167</v>
      </c>
      <c r="D8" s="9"/>
    </row>
    <row r="9">
      <c r="A9" s="8" t="s">
        <v>10</v>
      </c>
      <c r="B9" s="4" t="s">
        <v>11</v>
      </c>
      <c r="C9" s="8" t="s">
        <v>168</v>
      </c>
      <c r="D9" s="9"/>
    </row>
    <row r="10">
      <c r="A10" s="8" t="s">
        <v>12</v>
      </c>
      <c r="B10" s="4" t="s">
        <v>13</v>
      </c>
      <c r="C10" s="8" t="s">
        <v>169</v>
      </c>
      <c r="D10" s="9"/>
    </row>
    <row r="11">
      <c r="A11" s="8" t="s">
        <v>14</v>
      </c>
      <c r="B11" s="4" t="s">
        <v>15</v>
      </c>
      <c r="C11" s="8" t="s">
        <v>170</v>
      </c>
      <c r="D11" s="9"/>
    </row>
    <row r="12">
      <c r="A12" s="8" t="s">
        <v>16</v>
      </c>
      <c r="B12" s="4" t="s">
        <v>17</v>
      </c>
      <c r="C12" s="8" t="s">
        <v>171</v>
      </c>
      <c r="D12" s="9"/>
    </row>
    <row r="13">
      <c r="A13" s="8" t="s">
        <v>18</v>
      </c>
      <c r="B13" s="4" t="s">
        <v>19</v>
      </c>
      <c r="C13" s="8" t="s">
        <v>172</v>
      </c>
      <c r="D13" s="9"/>
    </row>
    <row r="14">
      <c r="A14" s="8" t="s">
        <v>20</v>
      </c>
      <c r="B14" s="4" t="s">
        <v>21</v>
      </c>
      <c r="C14" s="8" t="s">
        <v>173</v>
      </c>
      <c r="D14" s="9"/>
    </row>
    <row r="15">
      <c r="A15" s="8" t="s">
        <v>22</v>
      </c>
      <c r="B15" s="4" t="s">
        <v>23</v>
      </c>
      <c r="C15" s="8" t="s">
        <v>174</v>
      </c>
      <c r="D15" s="9"/>
    </row>
    <row r="16">
      <c r="A16" s="8" t="s">
        <v>24</v>
      </c>
      <c r="B16" s="4" t="s">
        <v>25</v>
      </c>
      <c r="C16" s="8" t="s">
        <v>175</v>
      </c>
      <c r="D16" s="9"/>
    </row>
    <row r="17">
      <c r="A17" s="8" t="s">
        <v>26</v>
      </c>
      <c r="B17" s="4" t="s">
        <v>27</v>
      </c>
      <c r="C17" s="8" t="s">
        <v>176</v>
      </c>
      <c r="D17" s="9"/>
    </row>
    <row r="18">
      <c r="A18" s="8" t="s">
        <v>28</v>
      </c>
      <c r="B18" s="4" t="s">
        <v>29</v>
      </c>
      <c r="C18" s="8" t="s">
        <v>177</v>
      </c>
      <c r="D18" s="9"/>
    </row>
    <row r="19">
      <c r="A19" s="8" t="s">
        <v>30</v>
      </c>
      <c r="B19" s="4" t="s">
        <v>31</v>
      </c>
      <c r="C19" s="8" t="s">
        <v>178</v>
      </c>
      <c r="D19" s="9"/>
    </row>
    <row r="20">
      <c r="A20" s="8" t="s">
        <v>32</v>
      </c>
      <c r="B20" s="4" t="s">
        <v>33</v>
      </c>
      <c r="C20" s="8" t="s">
        <v>179</v>
      </c>
      <c r="D20" s="9"/>
    </row>
    <row r="21">
      <c r="A21" s="8" t="s">
        <v>34</v>
      </c>
      <c r="B21" s="4" t="s">
        <v>35</v>
      </c>
      <c r="C21" s="8" t="s">
        <v>180</v>
      </c>
      <c r="D21" s="9"/>
    </row>
    <row r="22">
      <c r="A22" s="8" t="s">
        <v>36</v>
      </c>
      <c r="B22" s="4" t="s">
        <v>37</v>
      </c>
      <c r="C22" s="8" t="s">
        <v>181</v>
      </c>
      <c r="D22" s="9"/>
    </row>
    <row r="23">
      <c r="A23" s="8" t="s">
        <v>38</v>
      </c>
      <c r="B23" s="4" t="s">
        <v>39</v>
      </c>
      <c r="C23" s="8" t="s">
        <v>182</v>
      </c>
      <c r="D23" s="9"/>
    </row>
    <row r="24">
      <c r="A24" s="8" t="s">
        <v>183</v>
      </c>
      <c r="B24" s="4" t="s">
        <v>184</v>
      </c>
      <c r="C24" s="8" t="s">
        <v>185</v>
      </c>
      <c r="D24" s="9"/>
    </row>
    <row r="25">
      <c r="A25" s="8" t="s">
        <v>42</v>
      </c>
      <c r="B25" s="4" t="s">
        <v>43</v>
      </c>
      <c r="C25" s="8" t="s">
        <v>186</v>
      </c>
      <c r="D25" s="9"/>
    </row>
    <row r="26">
      <c r="A26" s="8" t="s">
        <v>44</v>
      </c>
      <c r="B26" s="4" t="s">
        <v>45</v>
      </c>
      <c r="C26" s="8" t="s">
        <v>187</v>
      </c>
      <c r="D26" s="9"/>
    </row>
    <row r="27">
      <c r="A27" s="8" t="s">
        <v>46</v>
      </c>
      <c r="B27" s="4" t="s">
        <v>47</v>
      </c>
      <c r="C27" s="8" t="s">
        <v>188</v>
      </c>
      <c r="D27" s="9"/>
    </row>
    <row r="28">
      <c r="A28" s="8" t="s">
        <v>48</v>
      </c>
      <c r="B28" s="4" t="s">
        <v>49</v>
      </c>
      <c r="C28" s="8" t="s">
        <v>189</v>
      </c>
      <c r="D28" s="9"/>
    </row>
    <row r="29">
      <c r="A29" s="8" t="s">
        <v>50</v>
      </c>
      <c r="B29" s="4" t="s">
        <v>51</v>
      </c>
      <c r="C29" s="8" t="s">
        <v>190</v>
      </c>
      <c r="D29" s="9"/>
    </row>
    <row r="30">
      <c r="A30" s="8" t="s">
        <v>52</v>
      </c>
      <c r="B30" s="4" t="s">
        <v>53</v>
      </c>
      <c r="C30" s="8" t="s">
        <v>191</v>
      </c>
      <c r="D30" s="9"/>
    </row>
    <row r="31">
      <c r="A31" s="8" t="s">
        <v>54</v>
      </c>
      <c r="B31" s="4" t="s">
        <v>55</v>
      </c>
      <c r="C31" s="8" t="s">
        <v>192</v>
      </c>
      <c r="D31" s="9"/>
    </row>
    <row r="32">
      <c r="A32" s="8" t="s">
        <v>56</v>
      </c>
      <c r="B32" s="4" t="s">
        <v>57</v>
      </c>
      <c r="C32" s="8" t="s">
        <v>193</v>
      </c>
      <c r="D32" s="9"/>
    </row>
    <row r="33">
      <c r="A33" s="8" t="s">
        <v>58</v>
      </c>
      <c r="B33" s="4" t="s">
        <v>194</v>
      </c>
      <c r="C33" s="8" t="s">
        <v>195</v>
      </c>
      <c r="D33" s="9"/>
    </row>
    <row r="34">
      <c r="A34" s="8" t="s">
        <v>62</v>
      </c>
      <c r="B34" s="4" t="s">
        <v>63</v>
      </c>
      <c r="C34" s="8" t="s">
        <v>196</v>
      </c>
      <c r="D34" s="9"/>
    </row>
    <row r="35">
      <c r="A35" s="8" t="s">
        <v>64</v>
      </c>
      <c r="B35" s="4" t="s">
        <v>65</v>
      </c>
      <c r="C35" s="8" t="s">
        <v>197</v>
      </c>
      <c r="D35" s="9"/>
    </row>
    <row r="36">
      <c r="A36" s="8" t="s">
        <v>66</v>
      </c>
      <c r="B36" s="4" t="s">
        <v>67</v>
      </c>
      <c r="C36" s="8" t="s">
        <v>198</v>
      </c>
      <c r="D36" s="9"/>
    </row>
    <row r="37">
      <c r="A37" s="8" t="s">
        <v>68</v>
      </c>
      <c r="B37" s="4" t="s">
        <v>69</v>
      </c>
      <c r="C37" s="8" t="s">
        <v>199</v>
      </c>
      <c r="D37" s="9"/>
    </row>
    <row r="38">
      <c r="A38" s="8" t="s">
        <v>70</v>
      </c>
      <c r="B38" s="4" t="s">
        <v>71</v>
      </c>
      <c r="C38" s="8" t="s">
        <v>200</v>
      </c>
      <c r="D38" s="9"/>
    </row>
    <row r="39">
      <c r="A39" s="8" t="s">
        <v>72</v>
      </c>
      <c r="B39" s="4" t="s">
        <v>73</v>
      </c>
      <c r="C39" s="8" t="s">
        <v>201</v>
      </c>
      <c r="D39" s="9"/>
    </row>
    <row r="40">
      <c r="A40" s="8" t="s">
        <v>74</v>
      </c>
      <c r="B40" s="4" t="s">
        <v>75</v>
      </c>
      <c r="C40" s="8" t="s">
        <v>202</v>
      </c>
      <c r="D40" s="9"/>
    </row>
    <row r="41">
      <c r="A41" s="8" t="s">
        <v>76</v>
      </c>
      <c r="B41" s="4" t="s">
        <v>77</v>
      </c>
      <c r="C41" s="8" t="s">
        <v>203</v>
      </c>
      <c r="D41" s="9"/>
    </row>
    <row r="42">
      <c r="A42" s="8" t="s">
        <v>78</v>
      </c>
      <c r="B42" s="4" t="s">
        <v>79</v>
      </c>
      <c r="C42" s="8" t="s">
        <v>204</v>
      </c>
      <c r="D42" s="9"/>
    </row>
    <row r="43">
      <c r="A43" s="8" t="s">
        <v>80</v>
      </c>
      <c r="B43" s="4" t="s">
        <v>81</v>
      </c>
      <c r="C43" s="8" t="s">
        <v>205</v>
      </c>
      <c r="D43" s="9"/>
    </row>
    <row r="44">
      <c r="A44" s="8" t="s">
        <v>82</v>
      </c>
      <c r="B44" s="4" t="s">
        <v>83</v>
      </c>
      <c r="C44" s="8" t="s">
        <v>206</v>
      </c>
      <c r="D44" s="9"/>
    </row>
    <row r="45">
      <c r="A45" s="8" t="s">
        <v>84</v>
      </c>
      <c r="B45" s="4" t="s">
        <v>85</v>
      </c>
      <c r="C45" s="8" t="s">
        <v>207</v>
      </c>
      <c r="D45" s="9"/>
    </row>
    <row r="46">
      <c r="A46" s="8" t="s">
        <v>86</v>
      </c>
      <c r="B46" s="4" t="s">
        <v>87</v>
      </c>
      <c r="C46" s="8" t="s">
        <v>208</v>
      </c>
      <c r="D46" s="9"/>
    </row>
    <row r="47">
      <c r="A47" s="8" t="s">
        <v>88</v>
      </c>
      <c r="B47" s="4" t="s">
        <v>89</v>
      </c>
      <c r="C47" s="8" t="s">
        <v>209</v>
      </c>
      <c r="D47" s="9"/>
    </row>
    <row r="48">
      <c r="A48" s="8" t="s">
        <v>90</v>
      </c>
      <c r="B48" s="4" t="s">
        <v>91</v>
      </c>
      <c r="C48" s="8" t="s">
        <v>210</v>
      </c>
      <c r="D48" s="9"/>
    </row>
    <row r="49">
      <c r="A49" s="8" t="s">
        <v>92</v>
      </c>
      <c r="B49" s="4" t="s">
        <v>93</v>
      </c>
      <c r="C49" s="8" t="s">
        <v>211</v>
      </c>
      <c r="D49" s="9"/>
    </row>
    <row r="50">
      <c r="A50" s="8" t="s">
        <v>94</v>
      </c>
      <c r="B50" s="4" t="s">
        <v>95</v>
      </c>
      <c r="C50" s="8" t="s">
        <v>212</v>
      </c>
      <c r="D50" s="9"/>
    </row>
    <row r="51">
      <c r="A51" s="8" t="s">
        <v>96</v>
      </c>
      <c r="B51" s="4" t="s">
        <v>97</v>
      </c>
      <c r="C51" s="8" t="s">
        <v>213</v>
      </c>
      <c r="D51" s="9"/>
    </row>
    <row r="52">
      <c r="A52" s="8" t="s">
        <v>98</v>
      </c>
      <c r="B52" s="4" t="s">
        <v>99</v>
      </c>
      <c r="C52" s="8" t="s">
        <v>214</v>
      </c>
      <c r="D52" s="9"/>
    </row>
    <row r="53">
      <c r="A53" s="8" t="s">
        <v>100</v>
      </c>
      <c r="B53" s="4" t="s">
        <v>101</v>
      </c>
      <c r="C53" s="8" t="s">
        <v>215</v>
      </c>
      <c r="D53" s="9"/>
    </row>
    <row r="54">
      <c r="A54" s="8" t="s">
        <v>102</v>
      </c>
      <c r="B54" s="4" t="s">
        <v>103</v>
      </c>
      <c r="C54" s="8" t="s">
        <v>216</v>
      </c>
      <c r="D54" s="9"/>
    </row>
    <row r="55">
      <c r="A55" s="8" t="s">
        <v>104</v>
      </c>
      <c r="B55" s="4" t="s">
        <v>105</v>
      </c>
      <c r="C55" s="8" t="s">
        <v>217</v>
      </c>
      <c r="D55" s="9"/>
    </row>
    <row r="56">
      <c r="A56" s="8" t="s">
        <v>106</v>
      </c>
      <c r="B56" s="4" t="s">
        <v>107</v>
      </c>
      <c r="C56" s="8" t="s">
        <v>218</v>
      </c>
      <c r="D56" s="8" t="s">
        <v>219</v>
      </c>
    </row>
    <row r="57">
      <c r="A57" s="8" t="s">
        <v>109</v>
      </c>
      <c r="B57" s="4" t="s">
        <v>110</v>
      </c>
      <c r="C57" s="8" t="s">
        <v>220</v>
      </c>
      <c r="D57" s="9"/>
    </row>
    <row r="58">
      <c r="A58" s="8" t="s">
        <v>111</v>
      </c>
      <c r="B58" s="4" t="s">
        <v>112</v>
      </c>
      <c r="C58" s="8" t="s">
        <v>221</v>
      </c>
      <c r="D58" s="9"/>
    </row>
    <row r="59">
      <c r="A59" s="8" t="s">
        <v>113</v>
      </c>
      <c r="B59" s="4" t="s">
        <v>114</v>
      </c>
      <c r="C59" s="8" t="s">
        <v>222</v>
      </c>
      <c r="D59" s="9"/>
    </row>
    <row r="60">
      <c r="A60" s="8" t="s">
        <v>115</v>
      </c>
      <c r="B60" s="4" t="s">
        <v>116</v>
      </c>
      <c r="C60" s="8" t="s">
        <v>223</v>
      </c>
      <c r="D60" s="9"/>
    </row>
    <row r="61">
      <c r="A61" s="8" t="s">
        <v>117</v>
      </c>
      <c r="B61" s="4" t="s">
        <v>118</v>
      </c>
      <c r="C61" s="8" t="s">
        <v>224</v>
      </c>
      <c r="D61" s="9"/>
    </row>
    <row r="62">
      <c r="A62" s="8" t="s">
        <v>119</v>
      </c>
      <c r="B62" s="4" t="s">
        <v>120</v>
      </c>
      <c r="C62" s="8" t="s">
        <v>225</v>
      </c>
      <c r="D62" s="9"/>
    </row>
    <row r="63">
      <c r="A63" s="8" t="s">
        <v>121</v>
      </c>
      <c r="B63" s="4" t="s">
        <v>122</v>
      </c>
      <c r="C63" s="8" t="s">
        <v>226</v>
      </c>
      <c r="D63" s="9"/>
    </row>
    <row r="64">
      <c r="A64" s="8" t="s">
        <v>125</v>
      </c>
      <c r="B64" s="4" t="s">
        <v>126</v>
      </c>
      <c r="C64" s="8" t="s">
        <v>227</v>
      </c>
      <c r="D64" s="9"/>
    </row>
    <row r="65">
      <c r="A65" s="8" t="s">
        <v>127</v>
      </c>
      <c r="B65" s="4" t="s">
        <v>128</v>
      </c>
      <c r="C65" s="8" t="s">
        <v>228</v>
      </c>
      <c r="D65" s="9"/>
    </row>
    <row r="66">
      <c r="A66" s="8" t="s">
        <v>129</v>
      </c>
      <c r="B66" s="4" t="s">
        <v>130</v>
      </c>
      <c r="C66" s="8" t="s">
        <v>229</v>
      </c>
      <c r="D66" s="9"/>
    </row>
    <row r="67">
      <c r="A67" s="8" t="s">
        <v>131</v>
      </c>
      <c r="B67" s="4" t="s">
        <v>132</v>
      </c>
      <c r="C67" s="8" t="s">
        <v>230</v>
      </c>
      <c r="D67" s="9"/>
    </row>
    <row r="68">
      <c r="A68" s="8" t="s">
        <v>133</v>
      </c>
      <c r="B68" s="4" t="s">
        <v>134</v>
      </c>
      <c r="C68" s="8" t="s">
        <v>231</v>
      </c>
      <c r="D68" s="9"/>
    </row>
    <row r="69">
      <c r="A69" s="8" t="s">
        <v>135</v>
      </c>
      <c r="B69" s="4" t="s">
        <v>136</v>
      </c>
      <c r="C69" s="8" t="s">
        <v>232</v>
      </c>
      <c r="D69" s="9"/>
    </row>
    <row r="70">
      <c r="A70" s="8" t="s">
        <v>137</v>
      </c>
      <c r="B70" s="4" t="s">
        <v>138</v>
      </c>
      <c r="C70" s="8" t="s">
        <v>233</v>
      </c>
      <c r="D70" s="9"/>
    </row>
    <row r="71">
      <c r="A71" s="8" t="s">
        <v>139</v>
      </c>
      <c r="B71" s="4" t="s">
        <v>140</v>
      </c>
      <c r="C71" s="8" t="s">
        <v>234</v>
      </c>
      <c r="D71" s="9"/>
    </row>
    <row r="72">
      <c r="A72" s="8" t="s">
        <v>141</v>
      </c>
      <c r="B72" s="4" t="s">
        <v>142</v>
      </c>
      <c r="C72" s="8" t="s">
        <v>235</v>
      </c>
      <c r="D72" s="9"/>
    </row>
    <row r="73">
      <c r="A73" s="8" t="s">
        <v>143</v>
      </c>
      <c r="B73" s="4" t="s">
        <v>144</v>
      </c>
      <c r="C73" s="8" t="s">
        <v>236</v>
      </c>
      <c r="D73" s="9"/>
    </row>
    <row r="74">
      <c r="A74" s="8" t="s">
        <v>145</v>
      </c>
      <c r="B74" s="4" t="s">
        <v>146</v>
      </c>
      <c r="C74" s="8" t="s">
        <v>237</v>
      </c>
      <c r="D74" s="9"/>
    </row>
    <row r="75">
      <c r="A75" s="8" t="s">
        <v>147</v>
      </c>
      <c r="B75" s="4" t="s">
        <v>148</v>
      </c>
      <c r="C75" s="8" t="s">
        <v>238</v>
      </c>
      <c r="D75" s="9"/>
    </row>
    <row r="76">
      <c r="A76" s="8" t="s">
        <v>149</v>
      </c>
      <c r="B76" s="4" t="s">
        <v>150</v>
      </c>
      <c r="C76" s="8" t="s">
        <v>239</v>
      </c>
      <c r="D76" s="9"/>
    </row>
    <row r="77">
      <c r="A77" s="8" t="s">
        <v>151</v>
      </c>
      <c r="B77" s="4" t="s">
        <v>152</v>
      </c>
      <c r="C77" s="8" t="s">
        <v>240</v>
      </c>
      <c r="D77" s="9"/>
    </row>
    <row r="78">
      <c r="A78" s="8" t="s">
        <v>153</v>
      </c>
      <c r="B78" s="4" t="s">
        <v>154</v>
      </c>
      <c r="C78" s="8" t="s">
        <v>241</v>
      </c>
      <c r="D78" s="9"/>
    </row>
    <row r="79">
      <c r="A79" s="8" t="s">
        <v>155</v>
      </c>
      <c r="B79" s="4" t="s">
        <v>156</v>
      </c>
      <c r="C79" s="8" t="s">
        <v>242</v>
      </c>
      <c r="D79" s="9"/>
    </row>
    <row r="80">
      <c r="A80" s="8" t="s">
        <v>157</v>
      </c>
      <c r="B80" s="4" t="s">
        <v>158</v>
      </c>
      <c r="C80" s="8" t="s">
        <v>243</v>
      </c>
      <c r="D80" s="9"/>
    </row>
    <row r="81">
      <c r="A81" s="8" t="s">
        <v>159</v>
      </c>
      <c r="B81" s="4" t="s">
        <v>160</v>
      </c>
      <c r="C81" s="8" t="s">
        <v>244</v>
      </c>
      <c r="D81" s="9"/>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8.5"/>
    <col customWidth="1" min="3" max="3" width="55.13"/>
  </cols>
  <sheetData>
    <row r="1">
      <c r="A1" s="10" t="s">
        <v>245</v>
      </c>
      <c r="B1" s="11"/>
      <c r="C1" s="11"/>
      <c r="D1" s="11"/>
      <c r="E1" s="11"/>
      <c r="F1" s="11"/>
      <c r="G1" s="11"/>
      <c r="H1" s="11"/>
      <c r="I1" s="11"/>
      <c r="J1" s="11"/>
      <c r="K1" s="11"/>
      <c r="L1" s="11"/>
      <c r="M1" s="11"/>
      <c r="N1" s="11"/>
      <c r="O1" s="11"/>
      <c r="P1" s="11"/>
      <c r="Q1" s="11"/>
      <c r="R1" s="11"/>
      <c r="S1" s="11"/>
      <c r="T1" s="11"/>
      <c r="U1" s="11"/>
      <c r="V1" s="11"/>
      <c r="W1" s="11"/>
      <c r="X1" s="11"/>
      <c r="Y1" s="11"/>
      <c r="Z1" s="11"/>
    </row>
    <row r="2">
      <c r="A2" s="10" t="s">
        <v>246</v>
      </c>
      <c r="B2" s="11"/>
      <c r="C2" s="11"/>
      <c r="D2" s="11"/>
      <c r="E2" s="11"/>
      <c r="F2" s="11"/>
      <c r="G2" s="11"/>
      <c r="H2" s="11"/>
      <c r="I2" s="11"/>
      <c r="J2" s="11"/>
      <c r="K2" s="11"/>
      <c r="L2" s="11"/>
      <c r="M2" s="11"/>
      <c r="N2" s="11"/>
      <c r="O2" s="11"/>
      <c r="P2" s="11"/>
      <c r="Q2" s="11"/>
      <c r="R2" s="11"/>
      <c r="S2" s="11"/>
      <c r="T2" s="11"/>
      <c r="U2" s="11"/>
      <c r="V2" s="11"/>
      <c r="W2" s="11"/>
      <c r="X2" s="11"/>
      <c r="Y2" s="11"/>
      <c r="Z2" s="11"/>
    </row>
    <row r="3">
      <c r="A3" s="12" t="s">
        <v>247</v>
      </c>
      <c r="B3" s="12" t="s">
        <v>248</v>
      </c>
      <c r="C3" s="12" t="s">
        <v>249</v>
      </c>
      <c r="D3" s="13"/>
      <c r="E3" s="13"/>
      <c r="F3" s="13"/>
      <c r="G3" s="13"/>
      <c r="H3" s="13"/>
      <c r="I3" s="13"/>
      <c r="J3" s="13"/>
      <c r="K3" s="13"/>
      <c r="L3" s="13"/>
      <c r="M3" s="13"/>
      <c r="N3" s="13"/>
      <c r="O3" s="13"/>
      <c r="P3" s="13"/>
      <c r="Q3" s="13"/>
      <c r="R3" s="13"/>
      <c r="S3" s="13"/>
      <c r="T3" s="13"/>
      <c r="U3" s="13"/>
      <c r="V3" s="13"/>
      <c r="W3" s="13"/>
      <c r="X3" s="13"/>
      <c r="Y3" s="13"/>
      <c r="Z3" s="13"/>
    </row>
    <row r="4">
      <c r="A4" s="14" t="s">
        <v>250</v>
      </c>
      <c r="B4" s="14" t="s">
        <v>251</v>
      </c>
      <c r="C4" s="12" t="s">
        <v>252</v>
      </c>
      <c r="D4" s="13"/>
      <c r="E4" s="13"/>
      <c r="F4" s="13"/>
      <c r="G4" s="13"/>
      <c r="H4" s="13"/>
      <c r="I4" s="13"/>
      <c r="J4" s="13"/>
      <c r="K4" s="13"/>
      <c r="L4" s="13"/>
      <c r="M4" s="13"/>
      <c r="N4" s="13"/>
      <c r="O4" s="13"/>
      <c r="P4" s="13"/>
      <c r="Q4" s="13"/>
      <c r="R4" s="13"/>
      <c r="S4" s="13"/>
      <c r="T4" s="13"/>
      <c r="U4" s="13"/>
      <c r="V4" s="13"/>
      <c r="W4" s="13"/>
      <c r="X4" s="13"/>
      <c r="Y4" s="13"/>
      <c r="Z4" s="13"/>
    </row>
    <row r="5">
      <c r="A5" s="14" t="s">
        <v>253</v>
      </c>
      <c r="B5" s="14" t="s">
        <v>254</v>
      </c>
      <c r="C5" s="12" t="s">
        <v>255</v>
      </c>
      <c r="D5" s="13"/>
      <c r="E5" s="13"/>
      <c r="F5" s="13"/>
      <c r="G5" s="13"/>
      <c r="H5" s="13"/>
      <c r="I5" s="13"/>
      <c r="J5" s="13"/>
      <c r="K5" s="13"/>
      <c r="L5" s="13"/>
      <c r="M5" s="13"/>
      <c r="N5" s="13"/>
      <c r="O5" s="13"/>
      <c r="P5" s="13"/>
      <c r="Q5" s="13"/>
      <c r="R5" s="13"/>
      <c r="S5" s="13"/>
      <c r="T5" s="13"/>
      <c r="U5" s="13"/>
      <c r="V5" s="13"/>
      <c r="W5" s="13"/>
      <c r="X5" s="13"/>
      <c r="Y5" s="13"/>
      <c r="Z5" s="13"/>
    </row>
    <row r="6">
      <c r="A6" s="14" t="s">
        <v>256</v>
      </c>
      <c r="B6" s="14" t="s">
        <v>257</v>
      </c>
      <c r="C6" s="14" t="s">
        <v>258</v>
      </c>
      <c r="D6" s="13"/>
      <c r="E6" s="13"/>
      <c r="F6" s="13"/>
      <c r="G6" s="13"/>
      <c r="H6" s="13"/>
      <c r="I6" s="13"/>
      <c r="J6" s="13"/>
      <c r="K6" s="13"/>
      <c r="L6" s="13"/>
      <c r="M6" s="13"/>
      <c r="N6" s="13"/>
      <c r="O6" s="13"/>
      <c r="P6" s="13"/>
      <c r="Q6" s="13"/>
      <c r="R6" s="13"/>
      <c r="S6" s="13"/>
      <c r="T6" s="13"/>
      <c r="U6" s="13"/>
      <c r="V6" s="13"/>
      <c r="W6" s="13"/>
      <c r="X6" s="13"/>
      <c r="Y6" s="13"/>
      <c r="Z6" s="13"/>
    </row>
    <row r="7">
      <c r="A7" s="14" t="s">
        <v>259</v>
      </c>
      <c r="B7" s="14" t="s">
        <v>260</v>
      </c>
      <c r="C7" s="12" t="s">
        <v>261</v>
      </c>
      <c r="D7" s="13"/>
      <c r="E7" s="13"/>
      <c r="F7" s="13"/>
      <c r="G7" s="13"/>
      <c r="H7" s="13"/>
      <c r="I7" s="13"/>
      <c r="J7" s="13"/>
      <c r="K7" s="13"/>
      <c r="L7" s="13"/>
      <c r="M7" s="13"/>
      <c r="N7" s="13"/>
      <c r="O7" s="13"/>
      <c r="P7" s="13"/>
      <c r="Q7" s="13"/>
      <c r="R7" s="13"/>
      <c r="S7" s="13"/>
      <c r="T7" s="13"/>
      <c r="U7" s="13"/>
      <c r="V7" s="13"/>
      <c r="W7" s="13"/>
      <c r="X7" s="13"/>
      <c r="Y7" s="13"/>
      <c r="Z7" s="13"/>
    </row>
    <row r="8">
      <c r="A8" s="14" t="s">
        <v>262</v>
      </c>
      <c r="B8" s="14" t="s">
        <v>263</v>
      </c>
      <c r="C8" s="12" t="s">
        <v>264</v>
      </c>
      <c r="D8" s="13"/>
      <c r="E8" s="13"/>
      <c r="F8" s="13"/>
      <c r="G8" s="13"/>
      <c r="H8" s="13"/>
      <c r="I8" s="13"/>
      <c r="J8" s="13"/>
      <c r="K8" s="13"/>
      <c r="L8" s="13"/>
      <c r="M8" s="13"/>
      <c r="N8" s="13"/>
      <c r="O8" s="13"/>
      <c r="P8" s="13"/>
      <c r="Q8" s="13"/>
      <c r="R8" s="13"/>
      <c r="S8" s="13"/>
      <c r="T8" s="13"/>
      <c r="U8" s="13"/>
      <c r="V8" s="13"/>
      <c r="W8" s="13"/>
      <c r="X8" s="13"/>
      <c r="Y8" s="13"/>
      <c r="Z8" s="13"/>
    </row>
    <row r="9">
      <c r="A9" s="14" t="s">
        <v>265</v>
      </c>
      <c r="B9" s="14" t="s">
        <v>266</v>
      </c>
      <c r="C9" s="12" t="s">
        <v>267</v>
      </c>
      <c r="D9" s="13"/>
      <c r="E9" s="13"/>
      <c r="F9" s="13"/>
      <c r="G9" s="13"/>
      <c r="H9" s="13"/>
      <c r="I9" s="13"/>
      <c r="J9" s="13"/>
      <c r="K9" s="13"/>
      <c r="L9" s="13"/>
      <c r="M9" s="13"/>
      <c r="N9" s="13"/>
      <c r="O9" s="13"/>
      <c r="P9" s="13"/>
      <c r="Q9" s="13"/>
      <c r="R9" s="13"/>
      <c r="S9" s="13"/>
      <c r="T9" s="13"/>
      <c r="U9" s="13"/>
      <c r="V9" s="13"/>
      <c r="W9" s="13"/>
      <c r="X9" s="13"/>
      <c r="Y9" s="13"/>
      <c r="Z9" s="13"/>
    </row>
    <row r="10">
      <c r="A10" s="14" t="s">
        <v>268</v>
      </c>
      <c r="B10" s="14" t="s">
        <v>266</v>
      </c>
      <c r="C10" s="12" t="s">
        <v>269</v>
      </c>
      <c r="D10" s="13"/>
      <c r="E10" s="13"/>
      <c r="F10" s="13"/>
      <c r="G10" s="13"/>
      <c r="H10" s="13"/>
      <c r="I10" s="13"/>
      <c r="J10" s="13"/>
      <c r="K10" s="13"/>
      <c r="L10" s="13"/>
      <c r="M10" s="13"/>
      <c r="N10" s="13"/>
      <c r="O10" s="13"/>
      <c r="P10" s="13"/>
      <c r="Q10" s="13"/>
      <c r="R10" s="13"/>
      <c r="S10" s="13"/>
      <c r="T10" s="13"/>
      <c r="U10" s="13"/>
      <c r="V10" s="13"/>
      <c r="W10" s="13"/>
      <c r="X10" s="13"/>
      <c r="Y10" s="13"/>
      <c r="Z10" s="13"/>
    </row>
    <row r="11">
      <c r="A11" s="12" t="s">
        <v>270</v>
      </c>
      <c r="B11" s="15"/>
      <c r="C11" s="15"/>
      <c r="D11" s="13"/>
      <c r="E11" s="13"/>
      <c r="F11" s="13"/>
      <c r="G11" s="13"/>
      <c r="H11" s="13"/>
      <c r="I11" s="13"/>
      <c r="J11" s="13"/>
      <c r="K11" s="13"/>
      <c r="L11" s="13"/>
      <c r="M11" s="13"/>
      <c r="N11" s="13"/>
      <c r="O11" s="13"/>
      <c r="P11" s="13"/>
      <c r="Q11" s="13"/>
      <c r="R11" s="13"/>
      <c r="S11" s="13"/>
      <c r="T11" s="13"/>
      <c r="U11" s="13"/>
      <c r="V11" s="13"/>
      <c r="W11" s="13"/>
      <c r="X11" s="13"/>
      <c r="Y11" s="13"/>
      <c r="Z11" s="13"/>
    </row>
    <row r="12">
      <c r="A12" s="10" t="s">
        <v>271</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6" t="s">
        <v>272</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2" t="s">
        <v>273</v>
      </c>
      <c r="B14" s="12" t="s">
        <v>274</v>
      </c>
      <c r="C14" s="12" t="s">
        <v>275</v>
      </c>
      <c r="D14" s="13"/>
      <c r="E14" s="13"/>
      <c r="F14" s="13"/>
      <c r="G14" s="13"/>
      <c r="H14" s="13"/>
      <c r="I14" s="13"/>
      <c r="J14" s="13"/>
      <c r="K14" s="13"/>
      <c r="L14" s="13"/>
      <c r="M14" s="13"/>
      <c r="N14" s="13"/>
      <c r="O14" s="13"/>
      <c r="P14" s="13"/>
      <c r="Q14" s="13"/>
      <c r="R14" s="13"/>
      <c r="S14" s="13"/>
      <c r="T14" s="13"/>
      <c r="U14" s="13"/>
      <c r="V14" s="13"/>
      <c r="W14" s="13"/>
      <c r="X14" s="13"/>
      <c r="Y14" s="13"/>
      <c r="Z14" s="13"/>
    </row>
    <row r="15">
      <c r="A15" s="14" t="s">
        <v>276</v>
      </c>
      <c r="B15" s="12" t="s">
        <v>277</v>
      </c>
      <c r="C15" s="12" t="s">
        <v>278</v>
      </c>
      <c r="D15" s="13"/>
      <c r="E15" s="13"/>
      <c r="F15" s="13"/>
      <c r="G15" s="13"/>
      <c r="H15" s="13"/>
      <c r="I15" s="13"/>
      <c r="J15" s="13"/>
      <c r="K15" s="13"/>
      <c r="L15" s="13"/>
      <c r="M15" s="13"/>
      <c r="N15" s="13"/>
      <c r="O15" s="13"/>
      <c r="P15" s="13"/>
      <c r="Q15" s="13"/>
      <c r="R15" s="13"/>
      <c r="S15" s="13"/>
      <c r="T15" s="13"/>
      <c r="U15" s="13"/>
      <c r="V15" s="13"/>
      <c r="W15" s="13"/>
      <c r="X15" s="13"/>
      <c r="Y15" s="13"/>
      <c r="Z15" s="13"/>
    </row>
    <row r="16">
      <c r="A16" s="14" t="s">
        <v>279</v>
      </c>
      <c r="B16" s="12" t="s">
        <v>280</v>
      </c>
      <c r="C16" s="12" t="s">
        <v>281</v>
      </c>
      <c r="D16" s="13"/>
      <c r="E16" s="13"/>
      <c r="F16" s="13"/>
      <c r="G16" s="13"/>
      <c r="H16" s="13"/>
      <c r="I16" s="13"/>
      <c r="J16" s="13"/>
      <c r="K16" s="13"/>
      <c r="L16" s="13"/>
      <c r="M16" s="13"/>
      <c r="N16" s="13"/>
      <c r="O16" s="13"/>
      <c r="P16" s="13"/>
      <c r="Q16" s="13"/>
      <c r="R16" s="13"/>
      <c r="S16" s="13"/>
      <c r="T16" s="13"/>
      <c r="U16" s="13"/>
      <c r="V16" s="13"/>
      <c r="W16" s="13"/>
      <c r="X16" s="13"/>
      <c r="Y16" s="13"/>
      <c r="Z16" s="13"/>
    </row>
    <row r="17">
      <c r="A17" s="14" t="s">
        <v>282</v>
      </c>
      <c r="B17" s="12" t="s">
        <v>283</v>
      </c>
      <c r="C17" s="12" t="s">
        <v>284</v>
      </c>
      <c r="D17" s="13"/>
      <c r="E17" s="13"/>
      <c r="F17" s="13"/>
      <c r="G17" s="13"/>
      <c r="H17" s="13"/>
      <c r="I17" s="13"/>
      <c r="J17" s="13"/>
      <c r="K17" s="13"/>
      <c r="L17" s="13"/>
      <c r="M17" s="13"/>
      <c r="N17" s="13"/>
      <c r="O17" s="13"/>
      <c r="P17" s="13"/>
      <c r="Q17" s="13"/>
      <c r="R17" s="13"/>
      <c r="S17" s="13"/>
      <c r="T17" s="13"/>
      <c r="U17" s="13"/>
      <c r="V17" s="13"/>
      <c r="W17" s="13"/>
      <c r="X17" s="13"/>
      <c r="Y17" s="13"/>
      <c r="Z17" s="13"/>
    </row>
    <row r="18">
      <c r="A18" s="14" t="s">
        <v>285</v>
      </c>
      <c r="B18" s="12" t="s">
        <v>286</v>
      </c>
      <c r="C18" s="12" t="s">
        <v>287</v>
      </c>
      <c r="D18" s="13"/>
      <c r="E18" s="13"/>
      <c r="F18" s="13"/>
      <c r="G18" s="13"/>
      <c r="H18" s="13"/>
      <c r="I18" s="13"/>
      <c r="J18" s="13"/>
      <c r="K18" s="13"/>
      <c r="L18" s="13"/>
      <c r="M18" s="13"/>
      <c r="N18" s="13"/>
      <c r="O18" s="13"/>
      <c r="P18" s="13"/>
      <c r="Q18" s="13"/>
      <c r="R18" s="13"/>
      <c r="S18" s="13"/>
      <c r="T18" s="13"/>
      <c r="U18" s="13"/>
      <c r="V18" s="13"/>
      <c r="W18" s="13"/>
      <c r="X18" s="13"/>
      <c r="Y18" s="13"/>
      <c r="Z18" s="13"/>
    </row>
    <row r="19">
      <c r="A19" s="14" t="s">
        <v>288</v>
      </c>
      <c r="B19" s="12" t="s">
        <v>289</v>
      </c>
      <c r="C19" s="12" t="s">
        <v>290</v>
      </c>
      <c r="D19" s="13"/>
      <c r="E19" s="13"/>
      <c r="F19" s="13"/>
      <c r="G19" s="13"/>
      <c r="H19" s="13"/>
      <c r="I19" s="13"/>
      <c r="J19" s="13"/>
      <c r="K19" s="13"/>
      <c r="L19" s="13"/>
      <c r="M19" s="13"/>
      <c r="N19" s="13"/>
      <c r="O19" s="13"/>
      <c r="P19" s="13"/>
      <c r="Q19" s="13"/>
      <c r="R19" s="13"/>
      <c r="S19" s="13"/>
      <c r="T19" s="13"/>
      <c r="U19" s="13"/>
      <c r="V19" s="13"/>
      <c r="W19" s="13"/>
      <c r="X19" s="13"/>
      <c r="Y19" s="13"/>
      <c r="Z19" s="13"/>
    </row>
    <row r="20">
      <c r="A20" s="14" t="s">
        <v>291</v>
      </c>
      <c r="B20" s="12" t="s">
        <v>292</v>
      </c>
      <c r="C20" s="12" t="s">
        <v>293</v>
      </c>
      <c r="D20" s="13"/>
      <c r="E20" s="13"/>
      <c r="F20" s="13"/>
      <c r="G20" s="13"/>
      <c r="H20" s="13"/>
      <c r="I20" s="13"/>
      <c r="J20" s="13"/>
      <c r="K20" s="13"/>
      <c r="L20" s="13"/>
      <c r="M20" s="13"/>
      <c r="N20" s="13"/>
      <c r="O20" s="13"/>
      <c r="P20" s="13"/>
      <c r="Q20" s="13"/>
      <c r="R20" s="13"/>
      <c r="S20" s="13"/>
      <c r="T20" s="13"/>
      <c r="U20" s="13"/>
      <c r="V20" s="13"/>
      <c r="W20" s="13"/>
      <c r="X20" s="13"/>
      <c r="Y20" s="13"/>
      <c r="Z20" s="13"/>
    </row>
    <row r="21">
      <c r="A21" s="15"/>
      <c r="B21" s="15"/>
      <c r="C21" s="15"/>
      <c r="D21" s="13"/>
      <c r="E21" s="13"/>
      <c r="F21" s="13"/>
      <c r="G21" s="13"/>
      <c r="H21" s="13"/>
      <c r="I21" s="13"/>
      <c r="J21" s="13"/>
      <c r="K21" s="13"/>
      <c r="L21" s="13"/>
      <c r="M21" s="13"/>
      <c r="N21" s="13"/>
      <c r="O21" s="13"/>
      <c r="P21" s="13"/>
      <c r="Q21" s="13"/>
      <c r="R21" s="13"/>
      <c r="S21" s="13"/>
      <c r="T21" s="13"/>
      <c r="U21" s="13"/>
      <c r="V21" s="13"/>
      <c r="W21" s="13"/>
      <c r="X21" s="13"/>
      <c r="Y21" s="13"/>
      <c r="Z21" s="13"/>
    </row>
    <row r="22">
      <c r="A22" s="15"/>
      <c r="B22" s="15"/>
      <c r="C22" s="15"/>
      <c r="D22" s="13"/>
      <c r="E22" s="13"/>
      <c r="F22" s="13"/>
      <c r="G22" s="13"/>
      <c r="H22" s="13"/>
      <c r="I22" s="13"/>
      <c r="J22" s="13"/>
      <c r="K22" s="13"/>
      <c r="L22" s="13"/>
      <c r="M22" s="13"/>
      <c r="N22" s="13"/>
      <c r="O22" s="13"/>
      <c r="P22" s="13"/>
      <c r="Q22" s="13"/>
      <c r="R22" s="13"/>
      <c r="S22" s="13"/>
      <c r="T22" s="13"/>
      <c r="U22" s="13"/>
      <c r="V22" s="13"/>
      <c r="W22" s="13"/>
      <c r="X22" s="13"/>
      <c r="Y22" s="13"/>
      <c r="Z22" s="13"/>
    </row>
    <row r="23">
      <c r="A23" s="15"/>
      <c r="B23" s="15"/>
      <c r="C23" s="15"/>
      <c r="D23" s="13"/>
      <c r="E23" s="13"/>
      <c r="F23" s="13"/>
      <c r="G23" s="13"/>
      <c r="H23" s="13"/>
      <c r="I23" s="13"/>
      <c r="J23" s="13"/>
      <c r="K23" s="13"/>
      <c r="L23" s="13"/>
      <c r="M23" s="13"/>
      <c r="N23" s="13"/>
      <c r="O23" s="13"/>
      <c r="P23" s="13"/>
      <c r="Q23" s="13"/>
      <c r="R23" s="13"/>
      <c r="S23" s="13"/>
      <c r="T23" s="13"/>
      <c r="U23" s="13"/>
      <c r="V23" s="13"/>
      <c r="W23" s="13"/>
      <c r="X23" s="13"/>
      <c r="Y23" s="13"/>
      <c r="Z23" s="13"/>
    </row>
    <row r="24">
      <c r="A24" s="15"/>
      <c r="B24" s="15"/>
      <c r="C24" s="15"/>
      <c r="D24" s="13"/>
      <c r="E24" s="13"/>
      <c r="F24" s="13"/>
      <c r="G24" s="13"/>
      <c r="H24" s="13"/>
      <c r="I24" s="13"/>
      <c r="J24" s="13"/>
      <c r="K24" s="13"/>
      <c r="L24" s="13"/>
      <c r="M24" s="13"/>
      <c r="N24" s="13"/>
      <c r="O24" s="13"/>
      <c r="P24" s="13"/>
      <c r="Q24" s="13"/>
      <c r="R24" s="13"/>
      <c r="S24" s="13"/>
      <c r="T24" s="13"/>
      <c r="U24" s="13"/>
      <c r="V24" s="13"/>
      <c r="W24" s="13"/>
      <c r="X24" s="13"/>
      <c r="Y24" s="13"/>
      <c r="Z24" s="13"/>
    </row>
    <row r="25">
      <c r="A25" s="15"/>
      <c r="B25" s="15"/>
      <c r="C25" s="15"/>
      <c r="D25" s="13"/>
      <c r="E25" s="13"/>
      <c r="F25" s="13"/>
      <c r="G25" s="13"/>
      <c r="H25" s="13"/>
      <c r="I25" s="13"/>
      <c r="J25" s="13"/>
      <c r="K25" s="13"/>
      <c r="L25" s="13"/>
      <c r="M25" s="13"/>
      <c r="N25" s="13"/>
      <c r="O25" s="13"/>
      <c r="P25" s="13"/>
      <c r="Q25" s="13"/>
      <c r="R25" s="13"/>
      <c r="S25" s="13"/>
      <c r="T25" s="13"/>
      <c r="U25" s="13"/>
      <c r="V25" s="13"/>
      <c r="W25" s="13"/>
      <c r="X25" s="13"/>
      <c r="Y25" s="13"/>
      <c r="Z25" s="13"/>
    </row>
    <row r="26">
      <c r="A26" s="15"/>
      <c r="B26" s="15"/>
      <c r="C26" s="15"/>
      <c r="D26" s="13"/>
      <c r="E26" s="13"/>
      <c r="F26" s="13"/>
      <c r="G26" s="13"/>
      <c r="H26" s="13"/>
      <c r="I26" s="13"/>
      <c r="J26" s="13"/>
      <c r="K26" s="13"/>
      <c r="L26" s="13"/>
      <c r="M26" s="13"/>
      <c r="N26" s="13"/>
      <c r="O26" s="13"/>
      <c r="P26" s="13"/>
      <c r="Q26" s="13"/>
      <c r="R26" s="13"/>
      <c r="S26" s="13"/>
      <c r="T26" s="13"/>
      <c r="U26" s="13"/>
      <c r="V26" s="13"/>
      <c r="W26" s="13"/>
      <c r="X26" s="13"/>
      <c r="Y26" s="13"/>
      <c r="Z26" s="13"/>
    </row>
    <row r="27">
      <c r="A27" s="15"/>
      <c r="B27" s="15"/>
      <c r="C27" s="15"/>
      <c r="D27" s="13"/>
      <c r="E27" s="13"/>
      <c r="F27" s="13"/>
      <c r="G27" s="13"/>
      <c r="H27" s="13"/>
      <c r="I27" s="13"/>
      <c r="J27" s="13"/>
      <c r="K27" s="13"/>
      <c r="L27" s="13"/>
      <c r="M27" s="13"/>
      <c r="N27" s="13"/>
      <c r="O27" s="13"/>
      <c r="P27" s="13"/>
      <c r="Q27" s="13"/>
      <c r="R27" s="13"/>
      <c r="S27" s="13"/>
      <c r="T27" s="13"/>
      <c r="U27" s="13"/>
      <c r="V27" s="13"/>
      <c r="W27" s="13"/>
      <c r="X27" s="13"/>
      <c r="Y27" s="13"/>
      <c r="Z27" s="13"/>
    </row>
    <row r="28">
      <c r="A28" s="15"/>
      <c r="B28" s="15"/>
      <c r="C28" s="15"/>
      <c r="D28" s="13"/>
      <c r="E28" s="13"/>
      <c r="F28" s="13"/>
      <c r="G28" s="13"/>
      <c r="H28" s="13"/>
      <c r="I28" s="13"/>
      <c r="J28" s="13"/>
      <c r="K28" s="13"/>
      <c r="L28" s="13"/>
      <c r="M28" s="13"/>
      <c r="N28" s="13"/>
      <c r="O28" s="13"/>
      <c r="P28" s="13"/>
      <c r="Q28" s="13"/>
      <c r="R28" s="13"/>
      <c r="S28" s="13"/>
      <c r="T28" s="13"/>
      <c r="U28" s="13"/>
      <c r="V28" s="13"/>
      <c r="W28" s="13"/>
      <c r="X28" s="13"/>
      <c r="Y28" s="13"/>
      <c r="Z28" s="13"/>
    </row>
    <row r="29">
      <c r="A29" s="15"/>
      <c r="B29" s="15"/>
      <c r="C29" s="15"/>
      <c r="D29" s="13"/>
      <c r="E29" s="13"/>
      <c r="F29" s="13"/>
      <c r="G29" s="13"/>
      <c r="H29" s="13"/>
      <c r="I29" s="13"/>
      <c r="J29" s="13"/>
      <c r="K29" s="13"/>
      <c r="L29" s="13"/>
      <c r="M29" s="13"/>
      <c r="N29" s="13"/>
      <c r="O29" s="13"/>
      <c r="P29" s="13"/>
      <c r="Q29" s="13"/>
      <c r="R29" s="13"/>
      <c r="S29" s="13"/>
      <c r="T29" s="13"/>
      <c r="U29" s="13"/>
      <c r="V29" s="13"/>
      <c r="W29" s="13"/>
      <c r="X29" s="13"/>
      <c r="Y29" s="13"/>
      <c r="Z29" s="13"/>
    </row>
    <row r="30">
      <c r="A30" s="15"/>
      <c r="B30" s="15"/>
      <c r="C30" s="15"/>
      <c r="D30" s="13"/>
      <c r="E30" s="13"/>
      <c r="F30" s="13"/>
      <c r="G30" s="13"/>
      <c r="H30" s="13"/>
      <c r="I30" s="13"/>
      <c r="J30" s="13"/>
      <c r="K30" s="13"/>
      <c r="L30" s="13"/>
      <c r="M30" s="13"/>
      <c r="N30" s="13"/>
      <c r="O30" s="13"/>
      <c r="P30" s="13"/>
      <c r="Q30" s="13"/>
      <c r="R30" s="13"/>
      <c r="S30" s="13"/>
      <c r="T30" s="13"/>
      <c r="U30" s="13"/>
      <c r="V30" s="13"/>
      <c r="W30" s="13"/>
      <c r="X30" s="13"/>
      <c r="Y30" s="13"/>
      <c r="Z30" s="13"/>
    </row>
    <row r="31">
      <c r="A31" s="15"/>
      <c r="B31" s="15"/>
      <c r="C31" s="15"/>
      <c r="D31" s="13"/>
      <c r="E31" s="13"/>
      <c r="F31" s="13"/>
      <c r="G31" s="13"/>
      <c r="H31" s="13"/>
      <c r="I31" s="13"/>
      <c r="J31" s="13"/>
      <c r="K31" s="13"/>
      <c r="L31" s="13"/>
      <c r="M31" s="13"/>
      <c r="N31" s="13"/>
      <c r="O31" s="13"/>
      <c r="P31" s="13"/>
      <c r="Q31" s="13"/>
      <c r="R31" s="13"/>
      <c r="S31" s="13"/>
      <c r="T31" s="13"/>
      <c r="U31" s="13"/>
      <c r="V31" s="13"/>
      <c r="W31" s="13"/>
      <c r="X31" s="13"/>
      <c r="Y31" s="13"/>
      <c r="Z31" s="13"/>
    </row>
    <row r="32">
      <c r="A32" s="15"/>
      <c r="B32" s="15"/>
      <c r="C32" s="15"/>
      <c r="D32" s="13"/>
      <c r="E32" s="13"/>
      <c r="F32" s="13"/>
      <c r="G32" s="13"/>
      <c r="H32" s="13"/>
      <c r="I32" s="13"/>
      <c r="J32" s="13"/>
      <c r="K32" s="13"/>
      <c r="L32" s="13"/>
      <c r="M32" s="13"/>
      <c r="N32" s="13"/>
      <c r="O32" s="13"/>
      <c r="P32" s="13"/>
      <c r="Q32" s="13"/>
      <c r="R32" s="13"/>
      <c r="S32" s="13"/>
      <c r="T32" s="13"/>
      <c r="U32" s="13"/>
      <c r="V32" s="13"/>
      <c r="W32" s="13"/>
      <c r="X32" s="13"/>
      <c r="Y32" s="13"/>
      <c r="Z32" s="13"/>
    </row>
    <row r="33">
      <c r="A33" s="15"/>
      <c r="B33" s="15"/>
      <c r="C33" s="15"/>
      <c r="D33" s="13"/>
      <c r="E33" s="13"/>
      <c r="F33" s="13"/>
      <c r="G33" s="13"/>
      <c r="H33" s="13"/>
      <c r="I33" s="13"/>
      <c r="J33" s="13"/>
      <c r="K33" s="13"/>
      <c r="L33" s="13"/>
      <c r="M33" s="13"/>
      <c r="N33" s="13"/>
      <c r="O33" s="13"/>
      <c r="P33" s="13"/>
      <c r="Q33" s="13"/>
      <c r="R33" s="13"/>
      <c r="S33" s="13"/>
      <c r="T33" s="13"/>
      <c r="U33" s="13"/>
      <c r="V33" s="13"/>
      <c r="W33" s="13"/>
      <c r="X33" s="13"/>
      <c r="Y33" s="13"/>
      <c r="Z33" s="13"/>
    </row>
    <row r="34">
      <c r="A34" s="15"/>
      <c r="B34" s="15"/>
      <c r="C34" s="15"/>
      <c r="D34" s="13"/>
      <c r="E34" s="13"/>
      <c r="F34" s="13"/>
      <c r="G34" s="13"/>
      <c r="H34" s="13"/>
      <c r="I34" s="13"/>
      <c r="J34" s="13"/>
      <c r="K34" s="13"/>
      <c r="L34" s="13"/>
      <c r="M34" s="13"/>
      <c r="N34" s="13"/>
      <c r="O34" s="13"/>
      <c r="P34" s="13"/>
      <c r="Q34" s="13"/>
      <c r="R34" s="13"/>
      <c r="S34" s="13"/>
      <c r="T34" s="13"/>
      <c r="U34" s="13"/>
      <c r="V34" s="13"/>
      <c r="W34" s="13"/>
      <c r="X34" s="13"/>
      <c r="Y34" s="13"/>
      <c r="Z34" s="13"/>
    </row>
    <row r="35">
      <c r="A35" s="15"/>
      <c r="B35" s="15"/>
      <c r="C35" s="15"/>
      <c r="D35" s="13"/>
      <c r="E35" s="13"/>
      <c r="F35" s="13"/>
      <c r="G35" s="13"/>
      <c r="H35" s="13"/>
      <c r="I35" s="13"/>
      <c r="J35" s="13"/>
      <c r="K35" s="13"/>
      <c r="L35" s="13"/>
      <c r="M35" s="13"/>
      <c r="N35" s="13"/>
      <c r="O35" s="13"/>
      <c r="P35" s="13"/>
      <c r="Q35" s="13"/>
      <c r="R35" s="13"/>
      <c r="S35" s="13"/>
      <c r="T35" s="13"/>
      <c r="U35" s="13"/>
      <c r="V35" s="13"/>
      <c r="W35" s="13"/>
      <c r="X35" s="13"/>
      <c r="Y35" s="13"/>
      <c r="Z35" s="13"/>
    </row>
    <row r="36">
      <c r="A36" s="15"/>
      <c r="B36" s="15"/>
      <c r="C36" s="15"/>
      <c r="D36" s="13"/>
      <c r="E36" s="13"/>
      <c r="F36" s="13"/>
      <c r="G36" s="13"/>
      <c r="H36" s="13"/>
      <c r="I36" s="13"/>
      <c r="J36" s="13"/>
      <c r="K36" s="13"/>
      <c r="L36" s="13"/>
      <c r="M36" s="13"/>
      <c r="N36" s="13"/>
      <c r="O36" s="13"/>
      <c r="P36" s="13"/>
      <c r="Q36" s="13"/>
      <c r="R36" s="13"/>
      <c r="S36" s="13"/>
      <c r="T36" s="13"/>
      <c r="U36" s="13"/>
      <c r="V36" s="13"/>
      <c r="W36" s="13"/>
      <c r="X36" s="13"/>
      <c r="Y36" s="13"/>
      <c r="Z36" s="13"/>
    </row>
    <row r="37">
      <c r="A37" s="15"/>
      <c r="B37" s="15"/>
      <c r="C37" s="15"/>
      <c r="D37" s="13"/>
      <c r="E37" s="13"/>
      <c r="F37" s="13"/>
      <c r="G37" s="13"/>
      <c r="H37" s="13"/>
      <c r="I37" s="13"/>
      <c r="J37" s="13"/>
      <c r="K37" s="13"/>
      <c r="L37" s="13"/>
      <c r="M37" s="13"/>
      <c r="N37" s="13"/>
      <c r="O37" s="13"/>
      <c r="P37" s="13"/>
      <c r="Q37" s="13"/>
      <c r="R37" s="13"/>
      <c r="S37" s="13"/>
      <c r="T37" s="13"/>
      <c r="U37" s="13"/>
      <c r="V37" s="13"/>
      <c r="W37" s="13"/>
      <c r="X37" s="13"/>
      <c r="Y37" s="13"/>
      <c r="Z37" s="13"/>
    </row>
    <row r="38">
      <c r="A38" s="15"/>
      <c r="B38" s="15"/>
      <c r="C38" s="15"/>
      <c r="D38" s="13"/>
      <c r="E38" s="13"/>
      <c r="F38" s="13"/>
      <c r="G38" s="13"/>
      <c r="H38" s="13"/>
      <c r="I38" s="13"/>
      <c r="J38" s="13"/>
      <c r="K38" s="13"/>
      <c r="L38" s="13"/>
      <c r="M38" s="13"/>
      <c r="N38" s="13"/>
      <c r="O38" s="13"/>
      <c r="P38" s="13"/>
      <c r="Q38" s="13"/>
      <c r="R38" s="13"/>
      <c r="S38" s="13"/>
      <c r="T38" s="13"/>
      <c r="U38" s="13"/>
      <c r="V38" s="13"/>
      <c r="W38" s="13"/>
      <c r="X38" s="13"/>
      <c r="Y38" s="13"/>
      <c r="Z38" s="13"/>
    </row>
    <row r="39">
      <c r="A39" s="15"/>
      <c r="B39" s="15"/>
      <c r="C39" s="15"/>
      <c r="D39" s="13"/>
      <c r="E39" s="13"/>
      <c r="F39" s="13"/>
      <c r="G39" s="13"/>
      <c r="H39" s="13"/>
      <c r="I39" s="13"/>
      <c r="J39" s="13"/>
      <c r="K39" s="13"/>
      <c r="L39" s="13"/>
      <c r="M39" s="13"/>
      <c r="N39" s="13"/>
      <c r="O39" s="13"/>
      <c r="P39" s="13"/>
      <c r="Q39" s="13"/>
      <c r="R39" s="13"/>
      <c r="S39" s="13"/>
      <c r="T39" s="13"/>
      <c r="U39" s="13"/>
      <c r="V39" s="13"/>
      <c r="W39" s="13"/>
      <c r="X39" s="13"/>
      <c r="Y39" s="13"/>
      <c r="Z39" s="13"/>
    </row>
    <row r="40">
      <c r="A40" s="15"/>
      <c r="B40" s="15"/>
      <c r="C40" s="15"/>
      <c r="D40" s="13"/>
      <c r="E40" s="13"/>
      <c r="F40" s="13"/>
      <c r="G40" s="13"/>
      <c r="H40" s="13"/>
      <c r="I40" s="13"/>
      <c r="J40" s="13"/>
      <c r="K40" s="13"/>
      <c r="L40" s="13"/>
      <c r="M40" s="13"/>
      <c r="N40" s="13"/>
      <c r="O40" s="13"/>
      <c r="P40" s="13"/>
      <c r="Q40" s="13"/>
      <c r="R40" s="13"/>
      <c r="S40" s="13"/>
      <c r="T40" s="13"/>
      <c r="U40" s="13"/>
      <c r="V40" s="13"/>
      <c r="W40" s="13"/>
      <c r="X40" s="13"/>
      <c r="Y40" s="13"/>
      <c r="Z40" s="13"/>
    </row>
    <row r="41">
      <c r="A41" s="15"/>
      <c r="B41" s="15"/>
      <c r="C41" s="15"/>
      <c r="D41" s="13"/>
      <c r="E41" s="13"/>
      <c r="F41" s="13"/>
      <c r="G41" s="13"/>
      <c r="H41" s="13"/>
      <c r="I41" s="13"/>
      <c r="J41" s="13"/>
      <c r="K41" s="13"/>
      <c r="L41" s="13"/>
      <c r="M41" s="13"/>
      <c r="N41" s="13"/>
      <c r="O41" s="13"/>
      <c r="P41" s="13"/>
      <c r="Q41" s="13"/>
      <c r="R41" s="13"/>
      <c r="S41" s="13"/>
      <c r="T41" s="13"/>
      <c r="U41" s="13"/>
      <c r="V41" s="13"/>
      <c r="W41" s="13"/>
      <c r="X41" s="13"/>
      <c r="Y41" s="13"/>
      <c r="Z41" s="13"/>
    </row>
    <row r="42">
      <c r="A42" s="15"/>
      <c r="B42" s="15"/>
      <c r="C42" s="15"/>
      <c r="D42" s="13"/>
      <c r="E42" s="13"/>
      <c r="F42" s="13"/>
      <c r="G42" s="13"/>
      <c r="H42" s="13"/>
      <c r="I42" s="13"/>
      <c r="J42" s="13"/>
      <c r="K42" s="13"/>
      <c r="L42" s="13"/>
      <c r="M42" s="13"/>
      <c r="N42" s="13"/>
      <c r="O42" s="13"/>
      <c r="P42" s="13"/>
      <c r="Q42" s="13"/>
      <c r="R42" s="13"/>
      <c r="S42" s="13"/>
      <c r="T42" s="13"/>
      <c r="U42" s="13"/>
      <c r="V42" s="13"/>
      <c r="W42" s="13"/>
      <c r="X42" s="13"/>
      <c r="Y42" s="13"/>
      <c r="Z42" s="13"/>
    </row>
    <row r="43">
      <c r="A43" s="15"/>
      <c r="B43" s="15"/>
      <c r="C43" s="15"/>
      <c r="D43" s="13"/>
      <c r="E43" s="13"/>
      <c r="F43" s="13"/>
      <c r="G43" s="13"/>
      <c r="H43" s="13"/>
      <c r="I43" s="13"/>
      <c r="J43" s="13"/>
      <c r="K43" s="13"/>
      <c r="L43" s="13"/>
      <c r="M43" s="13"/>
      <c r="N43" s="13"/>
      <c r="O43" s="13"/>
      <c r="P43" s="13"/>
      <c r="Q43" s="13"/>
      <c r="R43" s="13"/>
      <c r="S43" s="13"/>
      <c r="T43" s="13"/>
      <c r="U43" s="13"/>
      <c r="V43" s="13"/>
      <c r="W43" s="13"/>
      <c r="X43" s="13"/>
      <c r="Y43" s="13"/>
      <c r="Z43" s="13"/>
    </row>
    <row r="44">
      <c r="A44" s="15"/>
      <c r="B44" s="15"/>
      <c r="C44" s="15"/>
      <c r="D44" s="13"/>
      <c r="E44" s="13"/>
      <c r="F44" s="13"/>
      <c r="G44" s="13"/>
      <c r="H44" s="13"/>
      <c r="I44" s="13"/>
      <c r="J44" s="13"/>
      <c r="K44" s="13"/>
      <c r="L44" s="13"/>
      <c r="M44" s="13"/>
      <c r="N44" s="13"/>
      <c r="O44" s="13"/>
      <c r="P44" s="13"/>
      <c r="Q44" s="13"/>
      <c r="R44" s="13"/>
      <c r="S44" s="13"/>
      <c r="T44" s="13"/>
      <c r="U44" s="13"/>
      <c r="V44" s="13"/>
      <c r="W44" s="13"/>
      <c r="X44" s="13"/>
      <c r="Y44" s="13"/>
      <c r="Z44" s="13"/>
    </row>
    <row r="45">
      <c r="A45" s="15"/>
      <c r="B45" s="15"/>
      <c r="C45" s="15"/>
      <c r="D45" s="13"/>
      <c r="E45" s="13"/>
      <c r="F45" s="13"/>
      <c r="G45" s="13"/>
      <c r="H45" s="13"/>
      <c r="I45" s="13"/>
      <c r="J45" s="13"/>
      <c r="K45" s="13"/>
      <c r="L45" s="13"/>
      <c r="M45" s="13"/>
      <c r="N45" s="13"/>
      <c r="O45" s="13"/>
      <c r="P45" s="13"/>
      <c r="Q45" s="13"/>
      <c r="R45" s="13"/>
      <c r="S45" s="13"/>
      <c r="T45" s="13"/>
      <c r="U45" s="13"/>
      <c r="V45" s="13"/>
      <c r="W45" s="13"/>
      <c r="X45" s="13"/>
      <c r="Y45" s="13"/>
      <c r="Z45" s="13"/>
    </row>
    <row r="46">
      <c r="A46" s="15"/>
      <c r="B46" s="15"/>
      <c r="C46" s="15"/>
      <c r="D46" s="13"/>
      <c r="E46" s="13"/>
      <c r="F46" s="13"/>
      <c r="G46" s="13"/>
      <c r="H46" s="13"/>
      <c r="I46" s="13"/>
      <c r="J46" s="13"/>
      <c r="K46" s="13"/>
      <c r="L46" s="13"/>
      <c r="M46" s="13"/>
      <c r="N46" s="13"/>
      <c r="O46" s="13"/>
      <c r="P46" s="13"/>
      <c r="Q46" s="13"/>
      <c r="R46" s="13"/>
      <c r="S46" s="13"/>
      <c r="T46" s="13"/>
      <c r="U46" s="13"/>
      <c r="V46" s="13"/>
      <c r="W46" s="13"/>
      <c r="X46" s="13"/>
      <c r="Y46" s="13"/>
      <c r="Z46" s="13"/>
    </row>
    <row r="47">
      <c r="A47" s="15"/>
      <c r="B47" s="15"/>
      <c r="C47" s="15"/>
      <c r="D47" s="13"/>
      <c r="E47" s="13"/>
      <c r="F47" s="13"/>
      <c r="G47" s="13"/>
      <c r="H47" s="13"/>
      <c r="I47" s="13"/>
      <c r="J47" s="13"/>
      <c r="K47" s="13"/>
      <c r="L47" s="13"/>
      <c r="M47" s="13"/>
      <c r="N47" s="13"/>
      <c r="O47" s="13"/>
      <c r="P47" s="13"/>
      <c r="Q47" s="13"/>
      <c r="R47" s="13"/>
      <c r="S47" s="13"/>
      <c r="T47" s="13"/>
      <c r="U47" s="13"/>
      <c r="V47" s="13"/>
      <c r="W47" s="13"/>
      <c r="X47" s="13"/>
      <c r="Y47" s="13"/>
      <c r="Z47" s="13"/>
    </row>
    <row r="48">
      <c r="A48" s="15"/>
      <c r="B48" s="15"/>
      <c r="C48" s="15"/>
      <c r="D48" s="13"/>
      <c r="E48" s="13"/>
      <c r="F48" s="13"/>
      <c r="G48" s="13"/>
      <c r="H48" s="13"/>
      <c r="I48" s="13"/>
      <c r="J48" s="13"/>
      <c r="K48" s="13"/>
      <c r="L48" s="13"/>
      <c r="M48" s="13"/>
      <c r="N48" s="13"/>
      <c r="O48" s="13"/>
      <c r="P48" s="13"/>
      <c r="Q48" s="13"/>
      <c r="R48" s="13"/>
      <c r="S48" s="13"/>
      <c r="T48" s="13"/>
      <c r="U48" s="13"/>
      <c r="V48" s="13"/>
      <c r="W48" s="13"/>
      <c r="X48" s="13"/>
      <c r="Y48" s="13"/>
      <c r="Z48" s="13"/>
    </row>
    <row r="49">
      <c r="A49" s="15"/>
      <c r="B49" s="15"/>
      <c r="C49" s="15"/>
      <c r="D49" s="13"/>
      <c r="E49" s="13"/>
      <c r="F49" s="13"/>
      <c r="G49" s="13"/>
      <c r="H49" s="13"/>
      <c r="I49" s="13"/>
      <c r="J49" s="13"/>
      <c r="K49" s="13"/>
      <c r="L49" s="13"/>
      <c r="M49" s="13"/>
      <c r="N49" s="13"/>
      <c r="O49" s="13"/>
      <c r="P49" s="13"/>
      <c r="Q49" s="13"/>
      <c r="R49" s="13"/>
      <c r="S49" s="13"/>
      <c r="T49" s="13"/>
      <c r="U49" s="13"/>
      <c r="V49" s="13"/>
      <c r="W49" s="13"/>
      <c r="X49" s="13"/>
      <c r="Y49" s="13"/>
      <c r="Z49" s="13"/>
    </row>
    <row r="50">
      <c r="A50" s="15"/>
      <c r="B50" s="15"/>
      <c r="C50" s="15"/>
      <c r="D50" s="13"/>
      <c r="E50" s="13"/>
      <c r="F50" s="13"/>
      <c r="G50" s="13"/>
      <c r="H50" s="13"/>
      <c r="I50" s="13"/>
      <c r="J50" s="13"/>
      <c r="K50" s="13"/>
      <c r="L50" s="13"/>
      <c r="M50" s="13"/>
      <c r="N50" s="13"/>
      <c r="O50" s="13"/>
      <c r="P50" s="13"/>
      <c r="Q50" s="13"/>
      <c r="R50" s="13"/>
      <c r="S50" s="13"/>
      <c r="T50" s="13"/>
      <c r="U50" s="13"/>
      <c r="V50" s="13"/>
      <c r="W50" s="13"/>
      <c r="X50" s="13"/>
      <c r="Y50" s="13"/>
      <c r="Z50" s="13"/>
    </row>
    <row r="51">
      <c r="A51" s="15"/>
      <c r="B51" s="15"/>
      <c r="C51" s="15"/>
      <c r="D51" s="13"/>
      <c r="E51" s="13"/>
      <c r="F51" s="13"/>
      <c r="G51" s="13"/>
      <c r="H51" s="13"/>
      <c r="I51" s="13"/>
      <c r="J51" s="13"/>
      <c r="K51" s="13"/>
      <c r="L51" s="13"/>
      <c r="M51" s="13"/>
      <c r="N51" s="13"/>
      <c r="O51" s="13"/>
      <c r="P51" s="13"/>
      <c r="Q51" s="13"/>
      <c r="R51" s="13"/>
      <c r="S51" s="13"/>
      <c r="T51" s="13"/>
      <c r="U51" s="13"/>
      <c r="V51" s="13"/>
      <c r="W51" s="13"/>
      <c r="X51" s="13"/>
      <c r="Y51" s="13"/>
      <c r="Z51" s="13"/>
    </row>
    <row r="52">
      <c r="A52" s="15"/>
      <c r="B52" s="15"/>
      <c r="C52" s="15"/>
      <c r="D52" s="13"/>
      <c r="E52" s="13"/>
      <c r="F52" s="13"/>
      <c r="G52" s="13"/>
      <c r="H52" s="13"/>
      <c r="I52" s="13"/>
      <c r="J52" s="13"/>
      <c r="K52" s="13"/>
      <c r="L52" s="13"/>
      <c r="M52" s="13"/>
      <c r="N52" s="13"/>
      <c r="O52" s="13"/>
      <c r="P52" s="13"/>
      <c r="Q52" s="13"/>
      <c r="R52" s="13"/>
      <c r="S52" s="13"/>
      <c r="T52" s="13"/>
      <c r="U52" s="13"/>
      <c r="V52" s="13"/>
      <c r="W52" s="13"/>
      <c r="X52" s="13"/>
      <c r="Y52" s="13"/>
      <c r="Z52" s="13"/>
    </row>
    <row r="53">
      <c r="A53" s="15"/>
      <c r="B53" s="15"/>
      <c r="C53" s="15"/>
      <c r="D53" s="13"/>
      <c r="E53" s="13"/>
      <c r="F53" s="13"/>
      <c r="G53" s="13"/>
      <c r="H53" s="13"/>
      <c r="I53" s="13"/>
      <c r="J53" s="13"/>
      <c r="K53" s="13"/>
      <c r="L53" s="13"/>
      <c r="M53" s="13"/>
      <c r="N53" s="13"/>
      <c r="O53" s="13"/>
      <c r="P53" s="13"/>
      <c r="Q53" s="13"/>
      <c r="R53" s="13"/>
      <c r="S53" s="13"/>
      <c r="T53" s="13"/>
      <c r="U53" s="13"/>
      <c r="V53" s="13"/>
      <c r="W53" s="13"/>
      <c r="X53" s="13"/>
      <c r="Y53" s="13"/>
      <c r="Z53" s="13"/>
    </row>
    <row r="54">
      <c r="A54" s="15"/>
      <c r="B54" s="15"/>
      <c r="C54" s="15"/>
      <c r="D54" s="13"/>
      <c r="E54" s="13"/>
      <c r="F54" s="13"/>
      <c r="G54" s="13"/>
      <c r="H54" s="13"/>
      <c r="I54" s="13"/>
      <c r="J54" s="13"/>
      <c r="K54" s="13"/>
      <c r="L54" s="13"/>
      <c r="M54" s="13"/>
      <c r="N54" s="13"/>
      <c r="O54" s="13"/>
      <c r="P54" s="13"/>
      <c r="Q54" s="13"/>
      <c r="R54" s="13"/>
      <c r="S54" s="13"/>
      <c r="T54" s="13"/>
      <c r="U54" s="13"/>
      <c r="V54" s="13"/>
      <c r="W54" s="13"/>
      <c r="X54" s="13"/>
      <c r="Y54" s="13"/>
      <c r="Z54" s="13"/>
    </row>
    <row r="55">
      <c r="A55" s="15"/>
      <c r="B55" s="15"/>
      <c r="C55" s="15"/>
      <c r="D55" s="13"/>
      <c r="E55" s="13"/>
      <c r="F55" s="13"/>
      <c r="G55" s="13"/>
      <c r="H55" s="13"/>
      <c r="I55" s="13"/>
      <c r="J55" s="13"/>
      <c r="K55" s="13"/>
      <c r="L55" s="13"/>
      <c r="M55" s="13"/>
      <c r="N55" s="13"/>
      <c r="O55" s="13"/>
      <c r="P55" s="13"/>
      <c r="Q55" s="13"/>
      <c r="R55" s="13"/>
      <c r="S55" s="13"/>
      <c r="T55" s="13"/>
      <c r="U55" s="13"/>
      <c r="V55" s="13"/>
      <c r="W55" s="13"/>
      <c r="X55" s="13"/>
      <c r="Y55" s="13"/>
      <c r="Z55" s="13"/>
    </row>
    <row r="56">
      <c r="A56" s="15"/>
      <c r="B56" s="15"/>
      <c r="C56" s="15"/>
      <c r="D56" s="13"/>
      <c r="E56" s="13"/>
      <c r="F56" s="13"/>
      <c r="G56" s="13"/>
      <c r="H56" s="13"/>
      <c r="I56" s="13"/>
      <c r="J56" s="13"/>
      <c r="K56" s="13"/>
      <c r="L56" s="13"/>
      <c r="M56" s="13"/>
      <c r="N56" s="13"/>
      <c r="O56" s="13"/>
      <c r="P56" s="13"/>
      <c r="Q56" s="13"/>
      <c r="R56" s="13"/>
      <c r="S56" s="13"/>
      <c r="T56" s="13"/>
      <c r="U56" s="13"/>
      <c r="V56" s="13"/>
      <c r="W56" s="13"/>
      <c r="X56" s="13"/>
      <c r="Y56" s="13"/>
      <c r="Z56" s="13"/>
    </row>
    <row r="57">
      <c r="A57" s="15"/>
      <c r="B57" s="15"/>
      <c r="C57" s="15"/>
      <c r="D57" s="13"/>
      <c r="E57" s="13"/>
      <c r="F57" s="13"/>
      <c r="G57" s="13"/>
      <c r="H57" s="13"/>
      <c r="I57" s="13"/>
      <c r="J57" s="13"/>
      <c r="K57" s="13"/>
      <c r="L57" s="13"/>
      <c r="M57" s="13"/>
      <c r="N57" s="13"/>
      <c r="O57" s="13"/>
      <c r="P57" s="13"/>
      <c r="Q57" s="13"/>
      <c r="R57" s="13"/>
      <c r="S57" s="13"/>
      <c r="T57" s="13"/>
      <c r="U57" s="13"/>
      <c r="V57" s="13"/>
      <c r="W57" s="13"/>
      <c r="X57" s="13"/>
      <c r="Y57" s="13"/>
      <c r="Z57" s="13"/>
    </row>
    <row r="58">
      <c r="A58" s="15"/>
      <c r="B58" s="15"/>
      <c r="C58" s="15"/>
      <c r="D58" s="13"/>
      <c r="E58" s="13"/>
      <c r="F58" s="13"/>
      <c r="G58" s="13"/>
      <c r="H58" s="13"/>
      <c r="I58" s="13"/>
      <c r="J58" s="13"/>
      <c r="K58" s="13"/>
      <c r="L58" s="13"/>
      <c r="M58" s="13"/>
      <c r="N58" s="13"/>
      <c r="O58" s="13"/>
      <c r="P58" s="13"/>
      <c r="Q58" s="13"/>
      <c r="R58" s="13"/>
      <c r="S58" s="13"/>
      <c r="T58" s="13"/>
      <c r="U58" s="13"/>
      <c r="V58" s="13"/>
      <c r="W58" s="13"/>
      <c r="X58" s="13"/>
      <c r="Y58" s="13"/>
      <c r="Z58" s="13"/>
    </row>
    <row r="59">
      <c r="A59" s="15"/>
      <c r="B59" s="15"/>
      <c r="C59" s="15"/>
      <c r="D59" s="13"/>
      <c r="E59" s="13"/>
      <c r="F59" s="13"/>
      <c r="G59" s="13"/>
      <c r="H59" s="13"/>
      <c r="I59" s="13"/>
      <c r="J59" s="13"/>
      <c r="K59" s="13"/>
      <c r="L59" s="13"/>
      <c r="M59" s="13"/>
      <c r="N59" s="13"/>
      <c r="O59" s="13"/>
      <c r="P59" s="13"/>
      <c r="Q59" s="13"/>
      <c r="R59" s="13"/>
      <c r="S59" s="13"/>
      <c r="T59" s="13"/>
      <c r="U59" s="13"/>
      <c r="V59" s="13"/>
      <c r="W59" s="13"/>
      <c r="X59" s="13"/>
      <c r="Y59" s="13"/>
      <c r="Z59" s="13"/>
    </row>
    <row r="60">
      <c r="A60" s="15"/>
      <c r="B60" s="15"/>
      <c r="C60" s="15"/>
      <c r="D60" s="13"/>
      <c r="E60" s="13"/>
      <c r="F60" s="13"/>
      <c r="G60" s="13"/>
      <c r="H60" s="13"/>
      <c r="I60" s="13"/>
      <c r="J60" s="13"/>
      <c r="K60" s="13"/>
      <c r="L60" s="13"/>
      <c r="M60" s="13"/>
      <c r="N60" s="13"/>
      <c r="O60" s="13"/>
      <c r="P60" s="13"/>
      <c r="Q60" s="13"/>
      <c r="R60" s="13"/>
      <c r="S60" s="13"/>
      <c r="T60" s="13"/>
      <c r="U60" s="13"/>
      <c r="V60" s="13"/>
      <c r="W60" s="13"/>
      <c r="X60" s="13"/>
      <c r="Y60" s="13"/>
      <c r="Z60" s="13"/>
    </row>
    <row r="61">
      <c r="A61" s="15"/>
      <c r="B61" s="15"/>
      <c r="C61" s="15"/>
      <c r="D61" s="13"/>
      <c r="E61" s="13"/>
      <c r="F61" s="13"/>
      <c r="G61" s="13"/>
      <c r="H61" s="13"/>
      <c r="I61" s="13"/>
      <c r="J61" s="13"/>
      <c r="K61" s="13"/>
      <c r="L61" s="13"/>
      <c r="M61" s="13"/>
      <c r="N61" s="13"/>
      <c r="O61" s="13"/>
      <c r="P61" s="13"/>
      <c r="Q61" s="13"/>
      <c r="R61" s="13"/>
      <c r="S61" s="13"/>
      <c r="T61" s="13"/>
      <c r="U61" s="13"/>
      <c r="V61" s="13"/>
      <c r="W61" s="13"/>
      <c r="X61" s="13"/>
      <c r="Y61" s="13"/>
      <c r="Z61" s="13"/>
    </row>
    <row r="62">
      <c r="A62" s="15"/>
      <c r="B62" s="15"/>
      <c r="C62" s="15"/>
      <c r="D62" s="13"/>
      <c r="E62" s="13"/>
      <c r="F62" s="13"/>
      <c r="G62" s="13"/>
      <c r="H62" s="13"/>
      <c r="I62" s="13"/>
      <c r="J62" s="13"/>
      <c r="K62" s="13"/>
      <c r="L62" s="13"/>
      <c r="M62" s="13"/>
      <c r="N62" s="13"/>
      <c r="O62" s="13"/>
      <c r="P62" s="13"/>
      <c r="Q62" s="13"/>
      <c r="R62" s="13"/>
      <c r="S62" s="13"/>
      <c r="T62" s="13"/>
      <c r="U62" s="13"/>
      <c r="V62" s="13"/>
      <c r="W62" s="13"/>
      <c r="X62" s="13"/>
      <c r="Y62" s="13"/>
      <c r="Z62" s="13"/>
    </row>
    <row r="63">
      <c r="A63" s="15"/>
      <c r="B63" s="15"/>
      <c r="C63" s="15"/>
      <c r="D63" s="13"/>
      <c r="E63" s="13"/>
      <c r="F63" s="13"/>
      <c r="G63" s="13"/>
      <c r="H63" s="13"/>
      <c r="I63" s="13"/>
      <c r="J63" s="13"/>
      <c r="K63" s="13"/>
      <c r="L63" s="13"/>
      <c r="M63" s="13"/>
      <c r="N63" s="13"/>
      <c r="O63" s="13"/>
      <c r="P63" s="13"/>
      <c r="Q63" s="13"/>
      <c r="R63" s="13"/>
      <c r="S63" s="13"/>
      <c r="T63" s="13"/>
      <c r="U63" s="13"/>
      <c r="V63" s="13"/>
      <c r="W63" s="13"/>
      <c r="X63" s="13"/>
      <c r="Y63" s="13"/>
      <c r="Z63" s="13"/>
    </row>
    <row r="64">
      <c r="A64" s="15"/>
      <c r="B64" s="15"/>
      <c r="C64" s="15"/>
      <c r="D64" s="13"/>
      <c r="E64" s="13"/>
      <c r="F64" s="13"/>
      <c r="G64" s="13"/>
      <c r="H64" s="13"/>
      <c r="I64" s="13"/>
      <c r="J64" s="13"/>
      <c r="K64" s="13"/>
      <c r="L64" s="13"/>
      <c r="M64" s="13"/>
      <c r="N64" s="13"/>
      <c r="O64" s="13"/>
      <c r="P64" s="13"/>
      <c r="Q64" s="13"/>
      <c r="R64" s="13"/>
      <c r="S64" s="13"/>
      <c r="T64" s="13"/>
      <c r="U64" s="13"/>
      <c r="V64" s="13"/>
      <c r="W64" s="13"/>
      <c r="X64" s="13"/>
      <c r="Y64" s="13"/>
      <c r="Z64" s="13"/>
    </row>
    <row r="65">
      <c r="A65" s="15"/>
      <c r="B65" s="15"/>
      <c r="C65" s="15"/>
      <c r="D65" s="13"/>
      <c r="E65" s="13"/>
      <c r="F65" s="13"/>
      <c r="G65" s="13"/>
      <c r="H65" s="13"/>
      <c r="I65" s="13"/>
      <c r="J65" s="13"/>
      <c r="K65" s="13"/>
      <c r="L65" s="13"/>
      <c r="M65" s="13"/>
      <c r="N65" s="13"/>
      <c r="O65" s="13"/>
      <c r="P65" s="13"/>
      <c r="Q65" s="13"/>
      <c r="R65" s="13"/>
      <c r="S65" s="13"/>
      <c r="T65" s="13"/>
      <c r="U65" s="13"/>
      <c r="V65" s="13"/>
      <c r="W65" s="13"/>
      <c r="X65" s="13"/>
      <c r="Y65" s="13"/>
      <c r="Z65" s="13"/>
    </row>
    <row r="66">
      <c r="A66" s="15"/>
      <c r="B66" s="15"/>
      <c r="C66" s="15"/>
      <c r="D66" s="13"/>
      <c r="E66" s="13"/>
      <c r="F66" s="13"/>
      <c r="G66" s="13"/>
      <c r="H66" s="13"/>
      <c r="I66" s="13"/>
      <c r="J66" s="13"/>
      <c r="K66" s="13"/>
      <c r="L66" s="13"/>
      <c r="M66" s="13"/>
      <c r="N66" s="13"/>
      <c r="O66" s="13"/>
      <c r="P66" s="13"/>
      <c r="Q66" s="13"/>
      <c r="R66" s="13"/>
      <c r="S66" s="13"/>
      <c r="T66" s="13"/>
      <c r="U66" s="13"/>
      <c r="V66" s="13"/>
      <c r="W66" s="13"/>
      <c r="X66" s="13"/>
      <c r="Y66" s="13"/>
      <c r="Z66" s="13"/>
    </row>
    <row r="67">
      <c r="A67" s="15"/>
      <c r="B67" s="15"/>
      <c r="C67" s="15"/>
      <c r="D67" s="13"/>
      <c r="E67" s="13"/>
      <c r="F67" s="13"/>
      <c r="G67" s="13"/>
      <c r="H67" s="13"/>
      <c r="I67" s="13"/>
      <c r="J67" s="13"/>
      <c r="K67" s="13"/>
      <c r="L67" s="13"/>
      <c r="M67" s="13"/>
      <c r="N67" s="13"/>
      <c r="O67" s="13"/>
      <c r="P67" s="13"/>
      <c r="Q67" s="13"/>
      <c r="R67" s="13"/>
      <c r="S67" s="13"/>
      <c r="T67" s="13"/>
      <c r="U67" s="13"/>
      <c r="V67" s="13"/>
      <c r="W67" s="13"/>
      <c r="X67" s="13"/>
      <c r="Y67" s="13"/>
      <c r="Z67" s="13"/>
    </row>
    <row r="68">
      <c r="A68" s="15"/>
      <c r="B68" s="15"/>
      <c r="C68" s="15"/>
      <c r="D68" s="13"/>
      <c r="E68" s="13"/>
      <c r="F68" s="13"/>
      <c r="G68" s="13"/>
      <c r="H68" s="13"/>
      <c r="I68" s="13"/>
      <c r="J68" s="13"/>
      <c r="K68" s="13"/>
      <c r="L68" s="13"/>
      <c r="M68" s="13"/>
      <c r="N68" s="13"/>
      <c r="O68" s="13"/>
      <c r="P68" s="13"/>
      <c r="Q68" s="13"/>
      <c r="R68" s="13"/>
      <c r="S68" s="13"/>
      <c r="T68" s="13"/>
      <c r="U68" s="13"/>
      <c r="V68" s="13"/>
      <c r="W68" s="13"/>
      <c r="X68" s="13"/>
      <c r="Y68" s="13"/>
      <c r="Z68" s="13"/>
    </row>
    <row r="69">
      <c r="A69" s="15"/>
      <c r="B69" s="15"/>
      <c r="C69" s="15"/>
      <c r="D69" s="13"/>
      <c r="E69" s="13"/>
      <c r="F69" s="13"/>
      <c r="G69" s="13"/>
      <c r="H69" s="13"/>
      <c r="I69" s="13"/>
      <c r="J69" s="13"/>
      <c r="K69" s="13"/>
      <c r="L69" s="13"/>
      <c r="M69" s="13"/>
      <c r="N69" s="13"/>
      <c r="O69" s="13"/>
      <c r="P69" s="13"/>
      <c r="Q69" s="13"/>
      <c r="R69" s="13"/>
      <c r="S69" s="13"/>
      <c r="T69" s="13"/>
      <c r="U69" s="13"/>
      <c r="V69" s="13"/>
      <c r="W69" s="13"/>
      <c r="X69" s="13"/>
      <c r="Y69" s="13"/>
      <c r="Z69" s="13"/>
    </row>
    <row r="70">
      <c r="A70" s="15"/>
      <c r="B70" s="15"/>
      <c r="C70" s="15"/>
      <c r="D70" s="13"/>
      <c r="E70" s="13"/>
      <c r="F70" s="13"/>
      <c r="G70" s="13"/>
      <c r="H70" s="13"/>
      <c r="I70" s="13"/>
      <c r="J70" s="13"/>
      <c r="K70" s="13"/>
      <c r="L70" s="13"/>
      <c r="M70" s="13"/>
      <c r="N70" s="13"/>
      <c r="O70" s="13"/>
      <c r="P70" s="13"/>
      <c r="Q70" s="13"/>
      <c r="R70" s="13"/>
      <c r="S70" s="13"/>
      <c r="T70" s="13"/>
      <c r="U70" s="13"/>
      <c r="V70" s="13"/>
      <c r="W70" s="13"/>
      <c r="X70" s="13"/>
      <c r="Y70" s="13"/>
      <c r="Z70" s="13"/>
    </row>
    <row r="71">
      <c r="A71" s="15"/>
      <c r="B71" s="15"/>
      <c r="C71" s="15"/>
      <c r="D71" s="13"/>
      <c r="E71" s="13"/>
      <c r="F71" s="13"/>
      <c r="G71" s="13"/>
      <c r="H71" s="13"/>
      <c r="I71" s="13"/>
      <c r="J71" s="13"/>
      <c r="K71" s="13"/>
      <c r="L71" s="13"/>
      <c r="M71" s="13"/>
      <c r="N71" s="13"/>
      <c r="O71" s="13"/>
      <c r="P71" s="13"/>
      <c r="Q71" s="13"/>
      <c r="R71" s="13"/>
      <c r="S71" s="13"/>
      <c r="T71" s="13"/>
      <c r="U71" s="13"/>
      <c r="V71" s="13"/>
      <c r="W71" s="13"/>
      <c r="X71" s="13"/>
      <c r="Y71" s="13"/>
      <c r="Z71" s="13"/>
    </row>
    <row r="72">
      <c r="A72" s="15"/>
      <c r="B72" s="15"/>
      <c r="C72" s="15"/>
      <c r="D72" s="13"/>
      <c r="E72" s="13"/>
      <c r="F72" s="13"/>
      <c r="G72" s="13"/>
      <c r="H72" s="13"/>
      <c r="I72" s="13"/>
      <c r="J72" s="13"/>
      <c r="K72" s="13"/>
      <c r="L72" s="13"/>
      <c r="M72" s="13"/>
      <c r="N72" s="13"/>
      <c r="O72" s="13"/>
      <c r="P72" s="13"/>
      <c r="Q72" s="13"/>
      <c r="R72" s="13"/>
      <c r="S72" s="13"/>
      <c r="T72" s="13"/>
      <c r="U72" s="13"/>
      <c r="V72" s="13"/>
      <c r="W72" s="13"/>
      <c r="X72" s="13"/>
      <c r="Y72" s="13"/>
      <c r="Z72" s="13"/>
    </row>
    <row r="73">
      <c r="A73" s="15"/>
      <c r="B73" s="15"/>
      <c r="C73" s="15"/>
      <c r="D73" s="13"/>
      <c r="E73" s="13"/>
      <c r="F73" s="13"/>
      <c r="G73" s="13"/>
      <c r="H73" s="13"/>
      <c r="I73" s="13"/>
      <c r="J73" s="13"/>
      <c r="K73" s="13"/>
      <c r="L73" s="13"/>
      <c r="M73" s="13"/>
      <c r="N73" s="13"/>
      <c r="O73" s="13"/>
      <c r="P73" s="13"/>
      <c r="Q73" s="13"/>
      <c r="R73" s="13"/>
      <c r="S73" s="13"/>
      <c r="T73" s="13"/>
      <c r="U73" s="13"/>
      <c r="V73" s="13"/>
      <c r="W73" s="13"/>
      <c r="X73" s="13"/>
      <c r="Y73" s="13"/>
      <c r="Z73" s="13"/>
    </row>
    <row r="74">
      <c r="A74" s="15"/>
      <c r="B74" s="15"/>
      <c r="C74" s="15"/>
      <c r="D74" s="13"/>
      <c r="E74" s="13"/>
      <c r="F74" s="13"/>
      <c r="G74" s="13"/>
      <c r="H74" s="13"/>
      <c r="I74" s="13"/>
      <c r="J74" s="13"/>
      <c r="K74" s="13"/>
      <c r="L74" s="13"/>
      <c r="M74" s="13"/>
      <c r="N74" s="13"/>
      <c r="O74" s="13"/>
      <c r="P74" s="13"/>
      <c r="Q74" s="13"/>
      <c r="R74" s="13"/>
      <c r="S74" s="13"/>
      <c r="T74" s="13"/>
      <c r="U74" s="13"/>
      <c r="V74" s="13"/>
      <c r="W74" s="13"/>
      <c r="X74" s="13"/>
      <c r="Y74" s="13"/>
      <c r="Z74" s="13"/>
    </row>
    <row r="75">
      <c r="A75" s="15"/>
      <c r="B75" s="15"/>
      <c r="C75" s="15"/>
      <c r="D75" s="13"/>
      <c r="E75" s="13"/>
      <c r="F75" s="13"/>
      <c r="G75" s="13"/>
      <c r="H75" s="13"/>
      <c r="I75" s="13"/>
      <c r="J75" s="13"/>
      <c r="K75" s="13"/>
      <c r="L75" s="13"/>
      <c r="M75" s="13"/>
      <c r="N75" s="13"/>
      <c r="O75" s="13"/>
      <c r="P75" s="13"/>
      <c r="Q75" s="13"/>
      <c r="R75" s="13"/>
      <c r="S75" s="13"/>
      <c r="T75" s="13"/>
      <c r="U75" s="13"/>
      <c r="V75" s="13"/>
      <c r="W75" s="13"/>
      <c r="X75" s="13"/>
      <c r="Y75" s="13"/>
      <c r="Z75" s="13"/>
    </row>
    <row r="76">
      <c r="A76" s="15"/>
      <c r="B76" s="15"/>
      <c r="C76" s="15"/>
      <c r="D76" s="13"/>
      <c r="E76" s="13"/>
      <c r="F76" s="13"/>
      <c r="G76" s="13"/>
      <c r="H76" s="13"/>
      <c r="I76" s="13"/>
      <c r="J76" s="13"/>
      <c r="K76" s="13"/>
      <c r="L76" s="13"/>
      <c r="M76" s="13"/>
      <c r="N76" s="13"/>
      <c r="O76" s="13"/>
      <c r="P76" s="13"/>
      <c r="Q76" s="13"/>
      <c r="R76" s="13"/>
      <c r="S76" s="13"/>
      <c r="T76" s="13"/>
      <c r="U76" s="13"/>
      <c r="V76" s="13"/>
      <c r="W76" s="13"/>
      <c r="X76" s="13"/>
      <c r="Y76" s="13"/>
      <c r="Z76" s="13"/>
    </row>
    <row r="77">
      <c r="A77" s="15"/>
      <c r="B77" s="15"/>
      <c r="C77" s="15"/>
      <c r="D77" s="13"/>
      <c r="E77" s="13"/>
      <c r="F77" s="13"/>
      <c r="G77" s="13"/>
      <c r="H77" s="13"/>
      <c r="I77" s="13"/>
      <c r="J77" s="13"/>
      <c r="K77" s="13"/>
      <c r="L77" s="13"/>
      <c r="M77" s="13"/>
      <c r="N77" s="13"/>
      <c r="O77" s="13"/>
      <c r="P77" s="13"/>
      <c r="Q77" s="13"/>
      <c r="R77" s="13"/>
      <c r="S77" s="13"/>
      <c r="T77" s="13"/>
      <c r="U77" s="13"/>
      <c r="V77" s="13"/>
      <c r="W77" s="13"/>
      <c r="X77" s="13"/>
      <c r="Y77" s="13"/>
      <c r="Z77" s="13"/>
    </row>
    <row r="78">
      <c r="A78" s="15"/>
      <c r="B78" s="15"/>
      <c r="C78" s="15"/>
      <c r="D78" s="13"/>
      <c r="E78" s="13"/>
      <c r="F78" s="13"/>
      <c r="G78" s="13"/>
      <c r="H78" s="13"/>
      <c r="I78" s="13"/>
      <c r="J78" s="13"/>
      <c r="K78" s="13"/>
      <c r="L78" s="13"/>
      <c r="M78" s="13"/>
      <c r="N78" s="13"/>
      <c r="O78" s="13"/>
      <c r="P78" s="13"/>
      <c r="Q78" s="13"/>
      <c r="R78" s="13"/>
      <c r="S78" s="13"/>
      <c r="T78" s="13"/>
      <c r="U78" s="13"/>
      <c r="V78" s="13"/>
      <c r="W78" s="13"/>
      <c r="X78" s="13"/>
      <c r="Y78" s="13"/>
      <c r="Z78" s="13"/>
    </row>
    <row r="79">
      <c r="A79" s="15"/>
      <c r="B79" s="15"/>
      <c r="C79" s="15"/>
      <c r="D79" s="13"/>
      <c r="E79" s="13"/>
      <c r="F79" s="13"/>
      <c r="G79" s="13"/>
      <c r="H79" s="13"/>
      <c r="I79" s="13"/>
      <c r="J79" s="13"/>
      <c r="K79" s="13"/>
      <c r="L79" s="13"/>
      <c r="M79" s="13"/>
      <c r="N79" s="13"/>
      <c r="O79" s="13"/>
      <c r="P79" s="13"/>
      <c r="Q79" s="13"/>
      <c r="R79" s="13"/>
      <c r="S79" s="13"/>
      <c r="T79" s="13"/>
      <c r="U79" s="13"/>
      <c r="V79" s="13"/>
      <c r="W79" s="13"/>
      <c r="X79" s="13"/>
      <c r="Y79" s="13"/>
      <c r="Z79" s="13"/>
    </row>
    <row r="80">
      <c r="A80" s="15"/>
      <c r="B80" s="15"/>
      <c r="C80" s="15"/>
      <c r="D80" s="13"/>
      <c r="E80" s="13"/>
      <c r="F80" s="13"/>
      <c r="G80" s="13"/>
      <c r="H80" s="13"/>
      <c r="I80" s="13"/>
      <c r="J80" s="13"/>
      <c r="K80" s="13"/>
      <c r="L80" s="13"/>
      <c r="M80" s="13"/>
      <c r="N80" s="13"/>
      <c r="O80" s="13"/>
      <c r="P80" s="13"/>
      <c r="Q80" s="13"/>
      <c r="R80" s="13"/>
      <c r="S80" s="13"/>
      <c r="T80" s="13"/>
      <c r="U80" s="13"/>
      <c r="V80" s="13"/>
      <c r="W80" s="13"/>
      <c r="X80" s="13"/>
      <c r="Y80" s="13"/>
      <c r="Z80" s="13"/>
    </row>
    <row r="81">
      <c r="A81" s="15"/>
      <c r="B81" s="15"/>
      <c r="C81" s="15"/>
      <c r="D81" s="13"/>
      <c r="E81" s="13"/>
      <c r="F81" s="13"/>
      <c r="G81" s="13"/>
      <c r="H81" s="13"/>
      <c r="I81" s="13"/>
      <c r="J81" s="13"/>
      <c r="K81" s="13"/>
      <c r="L81" s="13"/>
      <c r="M81" s="13"/>
      <c r="N81" s="13"/>
      <c r="O81" s="13"/>
      <c r="P81" s="13"/>
      <c r="Q81" s="13"/>
      <c r="R81" s="13"/>
      <c r="S81" s="13"/>
      <c r="T81" s="13"/>
      <c r="U81" s="13"/>
      <c r="V81" s="13"/>
      <c r="W81" s="13"/>
      <c r="X81" s="13"/>
      <c r="Y81" s="13"/>
      <c r="Z81" s="13"/>
    </row>
    <row r="82">
      <c r="A82" s="15"/>
      <c r="B82" s="15"/>
      <c r="C82" s="15"/>
      <c r="D82" s="13"/>
      <c r="E82" s="13"/>
      <c r="F82" s="13"/>
      <c r="G82" s="13"/>
      <c r="H82" s="13"/>
      <c r="I82" s="13"/>
      <c r="J82" s="13"/>
      <c r="K82" s="13"/>
      <c r="L82" s="13"/>
      <c r="M82" s="13"/>
      <c r="N82" s="13"/>
      <c r="O82" s="13"/>
      <c r="P82" s="13"/>
      <c r="Q82" s="13"/>
      <c r="R82" s="13"/>
      <c r="S82" s="13"/>
      <c r="T82" s="13"/>
      <c r="U82" s="13"/>
      <c r="V82" s="13"/>
      <c r="W82" s="13"/>
      <c r="X82" s="13"/>
      <c r="Y82" s="13"/>
      <c r="Z82" s="13"/>
    </row>
    <row r="83">
      <c r="A83" s="15"/>
      <c r="B83" s="15"/>
      <c r="C83" s="15"/>
      <c r="D83" s="13"/>
      <c r="E83" s="13"/>
      <c r="F83" s="13"/>
      <c r="G83" s="13"/>
      <c r="H83" s="13"/>
      <c r="I83" s="13"/>
      <c r="J83" s="13"/>
      <c r="K83" s="13"/>
      <c r="L83" s="13"/>
      <c r="M83" s="13"/>
      <c r="N83" s="13"/>
      <c r="O83" s="13"/>
      <c r="P83" s="13"/>
      <c r="Q83" s="13"/>
      <c r="R83" s="13"/>
      <c r="S83" s="13"/>
      <c r="T83" s="13"/>
      <c r="U83" s="13"/>
      <c r="V83" s="13"/>
      <c r="W83" s="13"/>
      <c r="X83" s="13"/>
      <c r="Y83" s="13"/>
      <c r="Z83" s="13"/>
    </row>
    <row r="84">
      <c r="A84" s="15"/>
      <c r="B84" s="15"/>
      <c r="C84" s="15"/>
      <c r="D84" s="13"/>
      <c r="E84" s="13"/>
      <c r="F84" s="13"/>
      <c r="G84" s="13"/>
      <c r="H84" s="13"/>
      <c r="I84" s="13"/>
      <c r="J84" s="13"/>
      <c r="K84" s="13"/>
      <c r="L84" s="13"/>
      <c r="M84" s="13"/>
      <c r="N84" s="13"/>
      <c r="O84" s="13"/>
      <c r="P84" s="13"/>
      <c r="Q84" s="13"/>
      <c r="R84" s="13"/>
      <c r="S84" s="13"/>
      <c r="T84" s="13"/>
      <c r="U84" s="13"/>
      <c r="V84" s="13"/>
      <c r="W84" s="13"/>
      <c r="X84" s="13"/>
      <c r="Y84" s="13"/>
      <c r="Z84" s="13"/>
    </row>
    <row r="85">
      <c r="A85" s="15"/>
      <c r="B85" s="15"/>
      <c r="C85" s="15"/>
      <c r="D85" s="13"/>
      <c r="E85" s="13"/>
      <c r="F85" s="13"/>
      <c r="G85" s="13"/>
      <c r="H85" s="13"/>
      <c r="I85" s="13"/>
      <c r="J85" s="13"/>
      <c r="K85" s="13"/>
      <c r="L85" s="13"/>
      <c r="M85" s="13"/>
      <c r="N85" s="13"/>
      <c r="O85" s="13"/>
      <c r="P85" s="13"/>
      <c r="Q85" s="13"/>
      <c r="R85" s="13"/>
      <c r="S85" s="13"/>
      <c r="T85" s="13"/>
      <c r="U85" s="13"/>
      <c r="V85" s="13"/>
      <c r="W85" s="13"/>
      <c r="X85" s="13"/>
      <c r="Y85" s="13"/>
      <c r="Z85" s="13"/>
    </row>
    <row r="86">
      <c r="A86" s="15"/>
      <c r="B86" s="15"/>
      <c r="C86" s="15"/>
      <c r="D86" s="13"/>
      <c r="E86" s="13"/>
      <c r="F86" s="13"/>
      <c r="G86" s="13"/>
      <c r="H86" s="13"/>
      <c r="I86" s="13"/>
      <c r="J86" s="13"/>
      <c r="K86" s="13"/>
      <c r="L86" s="13"/>
      <c r="M86" s="13"/>
      <c r="N86" s="13"/>
      <c r="O86" s="13"/>
      <c r="P86" s="13"/>
      <c r="Q86" s="13"/>
      <c r="R86" s="13"/>
      <c r="S86" s="13"/>
      <c r="T86" s="13"/>
      <c r="U86" s="13"/>
      <c r="V86" s="13"/>
      <c r="W86" s="13"/>
      <c r="X86" s="13"/>
      <c r="Y86" s="13"/>
      <c r="Z86" s="13"/>
    </row>
    <row r="87">
      <c r="A87" s="15"/>
      <c r="B87" s="15"/>
      <c r="C87" s="15"/>
      <c r="D87" s="13"/>
      <c r="E87" s="13"/>
      <c r="F87" s="13"/>
      <c r="G87" s="13"/>
      <c r="H87" s="13"/>
      <c r="I87" s="13"/>
      <c r="J87" s="13"/>
      <c r="K87" s="13"/>
      <c r="L87" s="13"/>
      <c r="M87" s="13"/>
      <c r="N87" s="13"/>
      <c r="O87" s="13"/>
      <c r="P87" s="13"/>
      <c r="Q87" s="13"/>
      <c r="R87" s="13"/>
      <c r="S87" s="13"/>
      <c r="T87" s="13"/>
      <c r="U87" s="13"/>
      <c r="V87" s="13"/>
      <c r="W87" s="13"/>
      <c r="X87" s="13"/>
      <c r="Y87" s="13"/>
      <c r="Z87" s="13"/>
    </row>
    <row r="88">
      <c r="A88" s="15"/>
      <c r="B88" s="15"/>
      <c r="C88" s="15"/>
      <c r="D88" s="13"/>
      <c r="E88" s="13"/>
      <c r="F88" s="13"/>
      <c r="G88" s="13"/>
      <c r="H88" s="13"/>
      <c r="I88" s="13"/>
      <c r="J88" s="13"/>
      <c r="K88" s="13"/>
      <c r="L88" s="13"/>
      <c r="M88" s="13"/>
      <c r="N88" s="13"/>
      <c r="O88" s="13"/>
      <c r="P88" s="13"/>
      <c r="Q88" s="13"/>
      <c r="R88" s="13"/>
      <c r="S88" s="13"/>
      <c r="T88" s="13"/>
      <c r="U88" s="13"/>
      <c r="V88" s="13"/>
      <c r="W88" s="13"/>
      <c r="X88" s="13"/>
      <c r="Y88" s="13"/>
      <c r="Z88" s="13"/>
    </row>
    <row r="89">
      <c r="A89" s="15"/>
      <c r="B89" s="15"/>
      <c r="C89" s="15"/>
      <c r="D89" s="13"/>
      <c r="E89" s="13"/>
      <c r="F89" s="13"/>
      <c r="G89" s="13"/>
      <c r="H89" s="13"/>
      <c r="I89" s="13"/>
      <c r="J89" s="13"/>
      <c r="K89" s="13"/>
      <c r="L89" s="13"/>
      <c r="M89" s="13"/>
      <c r="N89" s="13"/>
      <c r="O89" s="13"/>
      <c r="P89" s="13"/>
      <c r="Q89" s="13"/>
      <c r="R89" s="13"/>
      <c r="S89" s="13"/>
      <c r="T89" s="13"/>
      <c r="U89" s="13"/>
      <c r="V89" s="13"/>
      <c r="W89" s="13"/>
      <c r="X89" s="13"/>
      <c r="Y89" s="13"/>
      <c r="Z89" s="13"/>
    </row>
    <row r="90">
      <c r="A90" s="15"/>
      <c r="B90" s="15"/>
      <c r="C90" s="15"/>
      <c r="D90" s="13"/>
      <c r="E90" s="13"/>
      <c r="F90" s="13"/>
      <c r="G90" s="13"/>
      <c r="H90" s="13"/>
      <c r="I90" s="13"/>
      <c r="J90" s="13"/>
      <c r="K90" s="13"/>
      <c r="L90" s="13"/>
      <c r="M90" s="13"/>
      <c r="N90" s="13"/>
      <c r="O90" s="13"/>
      <c r="P90" s="13"/>
      <c r="Q90" s="13"/>
      <c r="R90" s="13"/>
      <c r="S90" s="13"/>
      <c r="T90" s="13"/>
      <c r="U90" s="13"/>
      <c r="V90" s="13"/>
      <c r="W90" s="13"/>
      <c r="X90" s="13"/>
      <c r="Y90" s="13"/>
      <c r="Z90" s="13"/>
    </row>
    <row r="91">
      <c r="A91" s="15"/>
      <c r="B91" s="15"/>
      <c r="C91" s="15"/>
      <c r="D91" s="13"/>
      <c r="E91" s="13"/>
      <c r="F91" s="13"/>
      <c r="G91" s="13"/>
      <c r="H91" s="13"/>
      <c r="I91" s="13"/>
      <c r="J91" s="13"/>
      <c r="K91" s="13"/>
      <c r="L91" s="13"/>
      <c r="M91" s="13"/>
      <c r="N91" s="13"/>
      <c r="O91" s="13"/>
      <c r="P91" s="13"/>
      <c r="Q91" s="13"/>
      <c r="R91" s="13"/>
      <c r="S91" s="13"/>
      <c r="T91" s="13"/>
      <c r="U91" s="13"/>
      <c r="V91" s="13"/>
      <c r="W91" s="13"/>
      <c r="X91" s="13"/>
      <c r="Y91" s="13"/>
      <c r="Z91" s="13"/>
    </row>
    <row r="92">
      <c r="A92" s="15"/>
      <c r="B92" s="15"/>
      <c r="C92" s="15"/>
      <c r="D92" s="13"/>
      <c r="E92" s="13"/>
      <c r="F92" s="13"/>
      <c r="G92" s="13"/>
      <c r="H92" s="13"/>
      <c r="I92" s="13"/>
      <c r="J92" s="13"/>
      <c r="K92" s="13"/>
      <c r="L92" s="13"/>
      <c r="M92" s="13"/>
      <c r="N92" s="13"/>
      <c r="O92" s="13"/>
      <c r="P92" s="13"/>
      <c r="Q92" s="13"/>
      <c r="R92" s="13"/>
      <c r="S92" s="13"/>
      <c r="T92" s="13"/>
      <c r="U92" s="13"/>
      <c r="V92" s="13"/>
      <c r="W92" s="13"/>
      <c r="X92" s="13"/>
      <c r="Y92" s="13"/>
      <c r="Z92" s="13"/>
    </row>
    <row r="93">
      <c r="A93" s="15"/>
      <c r="B93" s="15"/>
      <c r="C93" s="15"/>
      <c r="D93" s="13"/>
      <c r="E93" s="13"/>
      <c r="F93" s="13"/>
      <c r="G93" s="13"/>
      <c r="H93" s="13"/>
      <c r="I93" s="13"/>
      <c r="J93" s="13"/>
      <c r="K93" s="13"/>
      <c r="L93" s="13"/>
      <c r="M93" s="13"/>
      <c r="N93" s="13"/>
      <c r="O93" s="13"/>
      <c r="P93" s="13"/>
      <c r="Q93" s="13"/>
      <c r="R93" s="13"/>
      <c r="S93" s="13"/>
      <c r="T93" s="13"/>
      <c r="U93" s="13"/>
      <c r="V93" s="13"/>
      <c r="W93" s="13"/>
      <c r="X93" s="13"/>
      <c r="Y93" s="13"/>
      <c r="Z93" s="13"/>
    </row>
    <row r="94">
      <c r="A94" s="15"/>
      <c r="B94" s="15"/>
      <c r="C94" s="15"/>
      <c r="D94" s="13"/>
      <c r="E94" s="13"/>
      <c r="F94" s="13"/>
      <c r="G94" s="13"/>
      <c r="H94" s="13"/>
      <c r="I94" s="13"/>
      <c r="J94" s="13"/>
      <c r="K94" s="13"/>
      <c r="L94" s="13"/>
      <c r="M94" s="13"/>
      <c r="N94" s="13"/>
      <c r="O94" s="13"/>
      <c r="P94" s="13"/>
      <c r="Q94" s="13"/>
      <c r="R94" s="13"/>
      <c r="S94" s="13"/>
      <c r="T94" s="13"/>
      <c r="U94" s="13"/>
      <c r="V94" s="13"/>
      <c r="W94" s="13"/>
      <c r="X94" s="13"/>
      <c r="Y94" s="13"/>
      <c r="Z94" s="13"/>
    </row>
    <row r="95">
      <c r="A95" s="15"/>
      <c r="B95" s="15"/>
      <c r="C95" s="15"/>
      <c r="D95" s="13"/>
      <c r="E95" s="13"/>
      <c r="F95" s="13"/>
      <c r="G95" s="13"/>
      <c r="H95" s="13"/>
      <c r="I95" s="13"/>
      <c r="J95" s="13"/>
      <c r="K95" s="13"/>
      <c r="L95" s="13"/>
      <c r="M95" s="13"/>
      <c r="N95" s="13"/>
      <c r="O95" s="13"/>
      <c r="P95" s="13"/>
      <c r="Q95" s="13"/>
      <c r="R95" s="13"/>
      <c r="S95" s="13"/>
      <c r="T95" s="13"/>
      <c r="U95" s="13"/>
      <c r="V95" s="13"/>
      <c r="W95" s="13"/>
      <c r="X95" s="13"/>
      <c r="Y95" s="13"/>
      <c r="Z95" s="13"/>
    </row>
    <row r="96">
      <c r="A96" s="15"/>
      <c r="B96" s="15"/>
      <c r="C96" s="15"/>
      <c r="D96" s="13"/>
      <c r="E96" s="13"/>
      <c r="F96" s="13"/>
      <c r="G96" s="13"/>
      <c r="H96" s="13"/>
      <c r="I96" s="13"/>
      <c r="J96" s="13"/>
      <c r="K96" s="13"/>
      <c r="L96" s="13"/>
      <c r="M96" s="13"/>
      <c r="N96" s="13"/>
      <c r="O96" s="13"/>
      <c r="P96" s="13"/>
      <c r="Q96" s="13"/>
      <c r="R96" s="13"/>
      <c r="S96" s="13"/>
      <c r="T96" s="13"/>
      <c r="U96" s="13"/>
      <c r="V96" s="13"/>
      <c r="W96" s="13"/>
      <c r="X96" s="13"/>
      <c r="Y96" s="13"/>
      <c r="Z96" s="13"/>
    </row>
    <row r="97">
      <c r="A97" s="15"/>
      <c r="B97" s="15"/>
      <c r="C97" s="15"/>
      <c r="D97" s="13"/>
      <c r="E97" s="13"/>
      <c r="F97" s="13"/>
      <c r="G97" s="13"/>
      <c r="H97" s="13"/>
      <c r="I97" s="13"/>
      <c r="J97" s="13"/>
      <c r="K97" s="13"/>
      <c r="L97" s="13"/>
      <c r="M97" s="13"/>
      <c r="N97" s="13"/>
      <c r="O97" s="13"/>
      <c r="P97" s="13"/>
      <c r="Q97" s="13"/>
      <c r="R97" s="13"/>
      <c r="S97" s="13"/>
      <c r="T97" s="13"/>
      <c r="U97" s="13"/>
      <c r="V97" s="13"/>
      <c r="W97" s="13"/>
      <c r="X97" s="13"/>
      <c r="Y97" s="13"/>
      <c r="Z97" s="13"/>
    </row>
    <row r="98">
      <c r="A98" s="15"/>
      <c r="B98" s="15"/>
      <c r="C98" s="15"/>
      <c r="D98" s="13"/>
      <c r="E98" s="13"/>
      <c r="F98" s="13"/>
      <c r="G98" s="13"/>
      <c r="H98" s="13"/>
      <c r="I98" s="13"/>
      <c r="J98" s="13"/>
      <c r="K98" s="13"/>
      <c r="L98" s="13"/>
      <c r="M98" s="13"/>
      <c r="N98" s="13"/>
      <c r="O98" s="13"/>
      <c r="P98" s="13"/>
      <c r="Q98" s="13"/>
      <c r="R98" s="13"/>
      <c r="S98" s="13"/>
      <c r="T98" s="13"/>
      <c r="U98" s="13"/>
      <c r="V98" s="13"/>
      <c r="W98" s="13"/>
      <c r="X98" s="13"/>
      <c r="Y98" s="13"/>
      <c r="Z98" s="13"/>
    </row>
    <row r="99">
      <c r="A99" s="15"/>
      <c r="B99" s="15"/>
      <c r="C99" s="15"/>
      <c r="D99" s="13"/>
      <c r="E99" s="13"/>
      <c r="F99" s="13"/>
      <c r="G99" s="13"/>
      <c r="H99" s="13"/>
      <c r="I99" s="13"/>
      <c r="J99" s="13"/>
      <c r="K99" s="13"/>
      <c r="L99" s="13"/>
      <c r="M99" s="13"/>
      <c r="N99" s="13"/>
      <c r="O99" s="13"/>
      <c r="P99" s="13"/>
      <c r="Q99" s="13"/>
      <c r="R99" s="13"/>
      <c r="S99" s="13"/>
      <c r="T99" s="13"/>
      <c r="U99" s="13"/>
      <c r="V99" s="13"/>
      <c r="W99" s="13"/>
      <c r="X99" s="13"/>
      <c r="Y99" s="13"/>
      <c r="Z99" s="13"/>
    </row>
    <row r="100">
      <c r="A100" s="15"/>
      <c r="B100" s="15"/>
      <c r="C100" s="15"/>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5"/>
      <c r="B101" s="15"/>
      <c r="C101" s="15"/>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5"/>
      <c r="B102" s="15"/>
      <c r="C102" s="15"/>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5"/>
      <c r="B103" s="15"/>
      <c r="C103" s="15"/>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5"/>
      <c r="B104" s="15"/>
      <c r="C104" s="15"/>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5"/>
      <c r="B105" s="15"/>
      <c r="C105" s="15"/>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5"/>
      <c r="B106" s="15"/>
      <c r="C106" s="15"/>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5"/>
      <c r="B107" s="15"/>
      <c r="C107" s="15"/>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5"/>
      <c r="B108" s="15"/>
      <c r="C108" s="15"/>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5"/>
      <c r="B109" s="15"/>
      <c r="C109" s="15"/>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5"/>
      <c r="B110" s="15"/>
      <c r="C110" s="15"/>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5"/>
      <c r="B111" s="15"/>
      <c r="C111" s="15"/>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5"/>
      <c r="B112" s="15"/>
      <c r="C112" s="15"/>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5"/>
      <c r="B113" s="15"/>
      <c r="C113" s="15"/>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5"/>
      <c r="B114" s="15"/>
      <c r="C114" s="15"/>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5"/>
      <c r="B115" s="15"/>
      <c r="C115" s="15"/>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5"/>
      <c r="B116" s="15"/>
      <c r="C116" s="15"/>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5"/>
      <c r="B117" s="15"/>
      <c r="C117" s="15"/>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5"/>
      <c r="B118" s="15"/>
      <c r="C118" s="15"/>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5"/>
      <c r="B119" s="15"/>
      <c r="C119" s="15"/>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5"/>
      <c r="B120" s="15"/>
      <c r="C120" s="15"/>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5"/>
      <c r="B121" s="15"/>
      <c r="C121" s="15"/>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5"/>
      <c r="B122" s="15"/>
      <c r="C122" s="15"/>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5"/>
      <c r="B123" s="15"/>
      <c r="C123" s="15"/>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5"/>
      <c r="B124" s="15"/>
      <c r="C124" s="15"/>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5"/>
      <c r="B125" s="15"/>
      <c r="C125" s="15"/>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5"/>
      <c r="B126" s="15"/>
      <c r="C126" s="15"/>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5"/>
      <c r="B127" s="15"/>
      <c r="C127" s="15"/>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5"/>
      <c r="B128" s="15"/>
      <c r="C128" s="15"/>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5"/>
      <c r="B129" s="15"/>
      <c r="C129" s="15"/>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5"/>
      <c r="B130" s="15"/>
      <c r="C130" s="15"/>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5"/>
      <c r="B131" s="15"/>
      <c r="C131" s="15"/>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5"/>
      <c r="B132" s="15"/>
      <c r="C132" s="15"/>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5"/>
      <c r="B133" s="15"/>
      <c r="C133" s="15"/>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5"/>
      <c r="B134" s="15"/>
      <c r="C134" s="15"/>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5"/>
      <c r="B135" s="15"/>
      <c r="C135" s="15"/>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5"/>
      <c r="B136" s="15"/>
      <c r="C136" s="15"/>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5"/>
      <c r="B137" s="15"/>
      <c r="C137" s="15"/>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5"/>
      <c r="B138" s="15"/>
      <c r="C138" s="15"/>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5"/>
      <c r="B139" s="15"/>
      <c r="C139" s="15"/>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5"/>
      <c r="B140" s="15"/>
      <c r="C140" s="15"/>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5"/>
      <c r="B141" s="15"/>
      <c r="C141" s="15"/>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5"/>
      <c r="B142" s="15"/>
      <c r="C142" s="15"/>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5"/>
      <c r="B143" s="15"/>
      <c r="C143" s="15"/>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5"/>
      <c r="B144" s="15"/>
      <c r="C144" s="15"/>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5"/>
      <c r="B145" s="15"/>
      <c r="C145" s="15"/>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5"/>
      <c r="B146" s="15"/>
      <c r="C146" s="15"/>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5"/>
      <c r="B147" s="15"/>
      <c r="C147" s="15"/>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5"/>
      <c r="B148" s="15"/>
      <c r="C148" s="15"/>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5"/>
      <c r="B149" s="15"/>
      <c r="C149" s="15"/>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5"/>
      <c r="B150" s="15"/>
      <c r="C150" s="15"/>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5"/>
      <c r="B151" s="15"/>
      <c r="C151" s="15"/>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5"/>
      <c r="B152" s="15"/>
      <c r="C152" s="15"/>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5"/>
      <c r="B153" s="15"/>
      <c r="C153" s="15"/>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5"/>
      <c r="B154" s="15"/>
      <c r="C154" s="15"/>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5"/>
      <c r="B155" s="15"/>
      <c r="C155" s="15"/>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5"/>
      <c r="B156" s="15"/>
      <c r="C156" s="15"/>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5"/>
      <c r="B157" s="15"/>
      <c r="C157" s="15"/>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5"/>
      <c r="B158" s="15"/>
      <c r="C158" s="15"/>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5"/>
      <c r="B159" s="15"/>
      <c r="C159" s="15"/>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5"/>
      <c r="B160" s="15"/>
      <c r="C160" s="15"/>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5"/>
      <c r="B161" s="15"/>
      <c r="C161" s="15"/>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5"/>
      <c r="B162" s="15"/>
      <c r="C162" s="15"/>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5"/>
      <c r="B163" s="15"/>
      <c r="C163" s="15"/>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5"/>
      <c r="B164" s="15"/>
      <c r="C164" s="15"/>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5"/>
      <c r="B165" s="15"/>
      <c r="C165" s="15"/>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5"/>
      <c r="B166" s="15"/>
      <c r="C166" s="15"/>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5"/>
      <c r="B167" s="15"/>
      <c r="C167" s="15"/>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5"/>
      <c r="B168" s="15"/>
      <c r="C168" s="15"/>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5"/>
      <c r="B169" s="15"/>
      <c r="C169" s="15"/>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5"/>
      <c r="B170" s="15"/>
      <c r="C170" s="15"/>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5"/>
      <c r="B171" s="15"/>
      <c r="C171" s="15"/>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5"/>
      <c r="B172" s="15"/>
      <c r="C172" s="15"/>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5"/>
      <c r="B173" s="15"/>
      <c r="C173" s="15"/>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5"/>
      <c r="B174" s="15"/>
      <c r="C174" s="15"/>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5"/>
      <c r="B175" s="15"/>
      <c r="C175" s="15"/>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5"/>
      <c r="B176" s="15"/>
      <c r="C176" s="15"/>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5"/>
      <c r="B177" s="15"/>
      <c r="C177" s="15"/>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5"/>
      <c r="B178" s="15"/>
      <c r="C178" s="15"/>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5"/>
      <c r="B179" s="15"/>
      <c r="C179" s="15"/>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5"/>
      <c r="B180" s="15"/>
      <c r="C180" s="15"/>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5"/>
      <c r="B181" s="15"/>
      <c r="C181" s="15"/>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5"/>
      <c r="B182" s="15"/>
      <c r="C182" s="15"/>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5"/>
      <c r="B183" s="15"/>
      <c r="C183" s="15"/>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5"/>
      <c r="B184" s="15"/>
      <c r="C184" s="15"/>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5"/>
      <c r="B185" s="15"/>
      <c r="C185" s="15"/>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5"/>
      <c r="B186" s="15"/>
      <c r="C186" s="15"/>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5"/>
      <c r="B187" s="15"/>
      <c r="C187" s="15"/>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5"/>
      <c r="B188" s="15"/>
      <c r="C188" s="15"/>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5"/>
      <c r="B189" s="15"/>
      <c r="C189" s="15"/>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5"/>
      <c r="B190" s="15"/>
      <c r="C190" s="15"/>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5"/>
      <c r="B191" s="15"/>
      <c r="C191" s="15"/>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5"/>
      <c r="B192" s="15"/>
      <c r="C192" s="15"/>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5"/>
      <c r="B193" s="15"/>
      <c r="C193" s="15"/>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5"/>
      <c r="B194" s="15"/>
      <c r="C194" s="15"/>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5"/>
      <c r="B195" s="15"/>
      <c r="C195" s="15"/>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5"/>
      <c r="B196" s="15"/>
      <c r="C196" s="15"/>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5"/>
      <c r="B197" s="15"/>
      <c r="C197" s="15"/>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5"/>
      <c r="B198" s="15"/>
      <c r="C198" s="15"/>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5"/>
      <c r="B199" s="15"/>
      <c r="C199" s="15"/>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5"/>
      <c r="B200" s="15"/>
      <c r="C200" s="15"/>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5"/>
      <c r="B201" s="15"/>
      <c r="C201" s="15"/>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5"/>
      <c r="B202" s="15"/>
      <c r="C202" s="15"/>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5"/>
      <c r="B203" s="15"/>
      <c r="C203" s="15"/>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5"/>
      <c r="B204" s="15"/>
      <c r="C204" s="15"/>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5"/>
      <c r="B205" s="15"/>
      <c r="C205" s="15"/>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5"/>
      <c r="B206" s="15"/>
      <c r="C206" s="15"/>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5"/>
      <c r="B207" s="15"/>
      <c r="C207" s="15"/>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5"/>
      <c r="B208" s="15"/>
      <c r="C208" s="15"/>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5"/>
      <c r="B209" s="15"/>
      <c r="C209" s="15"/>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5"/>
      <c r="B210" s="15"/>
      <c r="C210" s="15"/>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5"/>
      <c r="B211" s="15"/>
      <c r="C211" s="15"/>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5"/>
      <c r="B212" s="15"/>
      <c r="C212" s="15"/>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5"/>
      <c r="B213" s="15"/>
      <c r="C213" s="15"/>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5"/>
      <c r="B214" s="15"/>
      <c r="C214" s="15"/>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5"/>
      <c r="B215" s="15"/>
      <c r="C215" s="15"/>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5"/>
      <c r="B216" s="15"/>
      <c r="C216" s="15"/>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5"/>
      <c r="B217" s="15"/>
      <c r="C217" s="15"/>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5"/>
      <c r="B218" s="15"/>
      <c r="C218" s="15"/>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5"/>
      <c r="B219" s="15"/>
      <c r="C219" s="15"/>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5"/>
      <c r="B220" s="15"/>
      <c r="C220" s="15"/>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5"/>
      <c r="B221" s="15"/>
      <c r="C221" s="15"/>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5"/>
      <c r="B222" s="15"/>
      <c r="C222" s="15"/>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5"/>
      <c r="B223" s="15"/>
      <c r="C223" s="15"/>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5"/>
      <c r="B224" s="15"/>
      <c r="C224" s="15"/>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5"/>
      <c r="B225" s="15"/>
      <c r="C225" s="15"/>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5"/>
      <c r="B226" s="15"/>
      <c r="C226" s="15"/>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5"/>
      <c r="B227" s="15"/>
      <c r="C227" s="15"/>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5"/>
      <c r="B228" s="15"/>
      <c r="C228" s="15"/>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5"/>
      <c r="B229" s="15"/>
      <c r="C229" s="15"/>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5"/>
      <c r="B230" s="15"/>
      <c r="C230" s="15"/>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5"/>
      <c r="B231" s="15"/>
      <c r="C231" s="15"/>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5"/>
      <c r="B232" s="15"/>
      <c r="C232" s="15"/>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5"/>
      <c r="B233" s="15"/>
      <c r="C233" s="15"/>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5"/>
      <c r="B234" s="15"/>
      <c r="C234" s="15"/>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5"/>
      <c r="B235" s="15"/>
      <c r="C235" s="15"/>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5"/>
      <c r="B236" s="15"/>
      <c r="C236" s="15"/>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5"/>
      <c r="B237" s="15"/>
      <c r="C237" s="15"/>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5"/>
      <c r="B238" s="15"/>
      <c r="C238" s="15"/>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5"/>
      <c r="B239" s="15"/>
      <c r="C239" s="15"/>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5"/>
      <c r="B240" s="15"/>
      <c r="C240" s="15"/>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5"/>
      <c r="B241" s="15"/>
      <c r="C241" s="15"/>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5"/>
      <c r="B242" s="15"/>
      <c r="C242" s="15"/>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5"/>
      <c r="B243" s="15"/>
      <c r="C243" s="15"/>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5"/>
      <c r="B244" s="15"/>
      <c r="C244" s="15"/>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5"/>
      <c r="B245" s="15"/>
      <c r="C245" s="15"/>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5"/>
      <c r="B246" s="15"/>
      <c r="C246" s="15"/>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5"/>
      <c r="B247" s="15"/>
      <c r="C247" s="15"/>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5"/>
      <c r="B248" s="15"/>
      <c r="C248" s="15"/>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5"/>
      <c r="B249" s="15"/>
      <c r="C249" s="15"/>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5"/>
      <c r="B250" s="15"/>
      <c r="C250" s="15"/>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5"/>
      <c r="B251" s="15"/>
      <c r="C251" s="15"/>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5"/>
      <c r="B252" s="15"/>
      <c r="C252" s="15"/>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5"/>
      <c r="B253" s="15"/>
      <c r="C253" s="15"/>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5"/>
      <c r="B254" s="15"/>
      <c r="C254" s="15"/>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5"/>
      <c r="B255" s="15"/>
      <c r="C255" s="15"/>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5"/>
      <c r="B256" s="15"/>
      <c r="C256" s="15"/>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5"/>
      <c r="B257" s="15"/>
      <c r="C257" s="15"/>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5"/>
      <c r="B258" s="15"/>
      <c r="C258" s="15"/>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5"/>
      <c r="B259" s="15"/>
      <c r="C259" s="15"/>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5"/>
      <c r="B260" s="15"/>
      <c r="C260" s="15"/>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5"/>
      <c r="B261" s="15"/>
      <c r="C261" s="15"/>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5"/>
      <c r="B262" s="15"/>
      <c r="C262" s="15"/>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5"/>
      <c r="B263" s="15"/>
      <c r="C263" s="15"/>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5"/>
      <c r="B264" s="15"/>
      <c r="C264" s="15"/>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5"/>
      <c r="B265" s="15"/>
      <c r="C265" s="15"/>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5"/>
      <c r="B266" s="15"/>
      <c r="C266" s="15"/>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5"/>
      <c r="B267" s="15"/>
      <c r="C267" s="15"/>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5"/>
      <c r="B268" s="15"/>
      <c r="C268" s="15"/>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5"/>
      <c r="B269" s="15"/>
      <c r="C269" s="15"/>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5"/>
      <c r="B270" s="15"/>
      <c r="C270" s="15"/>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5"/>
      <c r="B271" s="15"/>
      <c r="C271" s="15"/>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5"/>
      <c r="B272" s="15"/>
      <c r="C272" s="15"/>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5"/>
      <c r="B273" s="15"/>
      <c r="C273" s="15"/>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5"/>
      <c r="B274" s="15"/>
      <c r="C274" s="15"/>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5"/>
      <c r="B275" s="15"/>
      <c r="C275" s="15"/>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5"/>
      <c r="B276" s="15"/>
      <c r="C276" s="15"/>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5"/>
      <c r="B277" s="15"/>
      <c r="C277" s="15"/>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5"/>
      <c r="B278" s="15"/>
      <c r="C278" s="15"/>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5"/>
      <c r="B279" s="15"/>
      <c r="C279" s="15"/>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5"/>
      <c r="B280" s="15"/>
      <c r="C280" s="15"/>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5"/>
      <c r="B281" s="15"/>
      <c r="C281" s="15"/>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5"/>
      <c r="B282" s="15"/>
      <c r="C282" s="15"/>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5"/>
      <c r="B283" s="15"/>
      <c r="C283" s="15"/>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5"/>
      <c r="B284" s="15"/>
      <c r="C284" s="15"/>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5"/>
      <c r="B285" s="15"/>
      <c r="C285" s="15"/>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5"/>
      <c r="B286" s="15"/>
      <c r="C286" s="15"/>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5"/>
      <c r="B287" s="15"/>
      <c r="C287" s="15"/>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5"/>
      <c r="B288" s="15"/>
      <c r="C288" s="15"/>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5"/>
      <c r="B289" s="15"/>
      <c r="C289" s="15"/>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5"/>
      <c r="B290" s="15"/>
      <c r="C290" s="15"/>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5"/>
      <c r="B291" s="15"/>
      <c r="C291" s="15"/>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5"/>
      <c r="B292" s="15"/>
      <c r="C292" s="15"/>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5"/>
      <c r="B293" s="15"/>
      <c r="C293" s="15"/>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5"/>
      <c r="B294" s="15"/>
      <c r="C294" s="15"/>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5"/>
      <c r="B295" s="15"/>
      <c r="C295" s="15"/>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5"/>
      <c r="B296" s="15"/>
      <c r="C296" s="15"/>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5"/>
      <c r="B297" s="15"/>
      <c r="C297" s="15"/>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5"/>
      <c r="B298" s="15"/>
      <c r="C298" s="15"/>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5"/>
      <c r="B299" s="15"/>
      <c r="C299" s="15"/>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5"/>
      <c r="B300" s="15"/>
      <c r="C300" s="15"/>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5"/>
      <c r="B301" s="15"/>
      <c r="C301" s="15"/>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5"/>
      <c r="B302" s="15"/>
      <c r="C302" s="15"/>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5"/>
      <c r="B303" s="15"/>
      <c r="C303" s="15"/>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5"/>
      <c r="B304" s="15"/>
      <c r="C304" s="15"/>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5"/>
      <c r="B305" s="15"/>
      <c r="C305" s="15"/>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5"/>
      <c r="B306" s="15"/>
      <c r="C306" s="15"/>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5"/>
      <c r="B307" s="15"/>
      <c r="C307" s="15"/>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5"/>
      <c r="B308" s="15"/>
      <c r="C308" s="15"/>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5"/>
      <c r="B309" s="15"/>
      <c r="C309" s="15"/>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5"/>
      <c r="B310" s="15"/>
      <c r="C310" s="15"/>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5"/>
      <c r="B311" s="15"/>
      <c r="C311" s="15"/>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5"/>
      <c r="B312" s="15"/>
      <c r="C312" s="15"/>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5"/>
      <c r="B313" s="15"/>
      <c r="C313" s="15"/>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5"/>
      <c r="B314" s="15"/>
      <c r="C314" s="15"/>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5"/>
      <c r="B315" s="15"/>
      <c r="C315" s="15"/>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5"/>
      <c r="B316" s="15"/>
      <c r="C316" s="15"/>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5"/>
      <c r="B317" s="15"/>
      <c r="C317" s="15"/>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5"/>
      <c r="B318" s="15"/>
      <c r="C318" s="15"/>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5"/>
      <c r="B319" s="15"/>
      <c r="C319" s="15"/>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5"/>
      <c r="B320" s="15"/>
      <c r="C320" s="15"/>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5"/>
      <c r="B321" s="15"/>
      <c r="C321" s="15"/>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5"/>
      <c r="B322" s="15"/>
      <c r="C322" s="15"/>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5"/>
      <c r="B323" s="15"/>
      <c r="C323" s="15"/>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5"/>
      <c r="B324" s="15"/>
      <c r="C324" s="15"/>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5"/>
      <c r="B325" s="15"/>
      <c r="C325" s="15"/>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5"/>
      <c r="B326" s="15"/>
      <c r="C326" s="15"/>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5"/>
      <c r="B327" s="15"/>
      <c r="C327" s="15"/>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5"/>
      <c r="B328" s="15"/>
      <c r="C328" s="15"/>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5"/>
      <c r="B329" s="15"/>
      <c r="C329" s="15"/>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5"/>
      <c r="B330" s="15"/>
      <c r="C330" s="15"/>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5"/>
      <c r="B331" s="15"/>
      <c r="C331" s="15"/>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5"/>
      <c r="B332" s="15"/>
      <c r="C332" s="15"/>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5"/>
      <c r="B333" s="15"/>
      <c r="C333" s="15"/>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5"/>
      <c r="B334" s="15"/>
      <c r="C334" s="15"/>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5"/>
      <c r="B335" s="15"/>
      <c r="C335" s="15"/>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5"/>
      <c r="B336" s="15"/>
      <c r="C336" s="15"/>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5"/>
      <c r="B337" s="15"/>
      <c r="C337" s="15"/>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5"/>
      <c r="B338" s="15"/>
      <c r="C338" s="15"/>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5"/>
      <c r="B339" s="15"/>
      <c r="C339" s="15"/>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5"/>
      <c r="B340" s="15"/>
      <c r="C340" s="15"/>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5"/>
      <c r="B341" s="15"/>
      <c r="C341" s="15"/>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5"/>
      <c r="B342" s="15"/>
      <c r="C342" s="15"/>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5"/>
      <c r="B343" s="15"/>
      <c r="C343" s="15"/>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5"/>
      <c r="B344" s="15"/>
      <c r="C344" s="15"/>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5"/>
      <c r="B345" s="15"/>
      <c r="C345" s="15"/>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5"/>
      <c r="B346" s="15"/>
      <c r="C346" s="15"/>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5"/>
      <c r="B347" s="15"/>
      <c r="C347" s="15"/>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5"/>
      <c r="B348" s="15"/>
      <c r="C348" s="15"/>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5"/>
      <c r="B349" s="15"/>
      <c r="C349" s="15"/>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5"/>
      <c r="B350" s="15"/>
      <c r="C350" s="15"/>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5"/>
      <c r="B351" s="15"/>
      <c r="C351" s="15"/>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5"/>
      <c r="B352" s="15"/>
      <c r="C352" s="15"/>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5"/>
      <c r="B353" s="15"/>
      <c r="C353" s="15"/>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5"/>
      <c r="B354" s="15"/>
      <c r="C354" s="15"/>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5"/>
      <c r="B355" s="15"/>
      <c r="C355" s="15"/>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5"/>
      <c r="B356" s="15"/>
      <c r="C356" s="15"/>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5"/>
      <c r="B357" s="15"/>
      <c r="C357" s="15"/>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5"/>
      <c r="B358" s="15"/>
      <c r="C358" s="15"/>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5"/>
      <c r="B359" s="15"/>
      <c r="C359" s="15"/>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5"/>
      <c r="B360" s="15"/>
      <c r="C360" s="15"/>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5"/>
      <c r="B361" s="15"/>
      <c r="C361" s="15"/>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5"/>
      <c r="B362" s="15"/>
      <c r="C362" s="15"/>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5"/>
      <c r="B363" s="15"/>
      <c r="C363" s="15"/>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5"/>
      <c r="B364" s="15"/>
      <c r="C364" s="15"/>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5"/>
      <c r="B365" s="15"/>
      <c r="C365" s="15"/>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5"/>
      <c r="B366" s="15"/>
      <c r="C366" s="15"/>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5"/>
      <c r="B367" s="15"/>
      <c r="C367" s="15"/>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5"/>
      <c r="B368" s="15"/>
      <c r="C368" s="15"/>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5"/>
      <c r="B369" s="15"/>
      <c r="C369" s="15"/>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5"/>
      <c r="B370" s="15"/>
      <c r="C370" s="15"/>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5"/>
      <c r="B371" s="15"/>
      <c r="C371" s="15"/>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5"/>
      <c r="B372" s="15"/>
      <c r="C372" s="15"/>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5"/>
      <c r="B373" s="15"/>
      <c r="C373" s="15"/>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5"/>
      <c r="B374" s="15"/>
      <c r="C374" s="15"/>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5"/>
      <c r="B375" s="15"/>
      <c r="C375" s="15"/>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5"/>
      <c r="B376" s="15"/>
      <c r="C376" s="15"/>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5"/>
      <c r="B377" s="15"/>
      <c r="C377" s="15"/>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5"/>
      <c r="B378" s="15"/>
      <c r="C378" s="15"/>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5"/>
      <c r="B379" s="15"/>
      <c r="C379" s="15"/>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5"/>
      <c r="B380" s="15"/>
      <c r="C380" s="15"/>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5"/>
      <c r="B381" s="15"/>
      <c r="C381" s="15"/>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5"/>
      <c r="B382" s="15"/>
      <c r="C382" s="15"/>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5"/>
      <c r="B383" s="15"/>
      <c r="C383" s="15"/>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5"/>
      <c r="B384" s="15"/>
      <c r="C384" s="15"/>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5"/>
      <c r="B385" s="15"/>
      <c r="C385" s="15"/>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5"/>
      <c r="B386" s="15"/>
      <c r="C386" s="15"/>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5"/>
      <c r="B387" s="15"/>
      <c r="C387" s="15"/>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5"/>
      <c r="B388" s="15"/>
      <c r="C388" s="15"/>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5"/>
      <c r="B389" s="15"/>
      <c r="C389" s="15"/>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5"/>
      <c r="B390" s="15"/>
      <c r="C390" s="15"/>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5"/>
      <c r="B391" s="15"/>
      <c r="C391" s="15"/>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5"/>
      <c r="B392" s="15"/>
      <c r="C392" s="15"/>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5"/>
      <c r="B393" s="15"/>
      <c r="C393" s="15"/>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5"/>
      <c r="B394" s="15"/>
      <c r="C394" s="15"/>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5"/>
      <c r="B395" s="15"/>
      <c r="C395" s="15"/>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5"/>
      <c r="B396" s="15"/>
      <c r="C396" s="15"/>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5"/>
      <c r="B397" s="15"/>
      <c r="C397" s="15"/>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5"/>
      <c r="B398" s="15"/>
      <c r="C398" s="15"/>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5"/>
      <c r="B399" s="15"/>
      <c r="C399" s="15"/>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5"/>
      <c r="B400" s="15"/>
      <c r="C400" s="15"/>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5"/>
      <c r="B401" s="15"/>
      <c r="C401" s="15"/>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5"/>
      <c r="B402" s="15"/>
      <c r="C402" s="15"/>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5"/>
      <c r="B403" s="15"/>
      <c r="C403" s="15"/>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5"/>
      <c r="B404" s="15"/>
      <c r="C404" s="15"/>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5"/>
      <c r="B405" s="15"/>
      <c r="C405" s="15"/>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5"/>
      <c r="B406" s="15"/>
      <c r="C406" s="15"/>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5"/>
      <c r="B407" s="15"/>
      <c r="C407" s="15"/>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5"/>
      <c r="B408" s="15"/>
      <c r="C408" s="15"/>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5"/>
      <c r="B409" s="15"/>
      <c r="C409" s="15"/>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5"/>
      <c r="B410" s="15"/>
      <c r="C410" s="15"/>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5"/>
      <c r="B411" s="15"/>
      <c r="C411" s="15"/>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5"/>
      <c r="B412" s="15"/>
      <c r="C412" s="15"/>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5"/>
      <c r="B413" s="15"/>
      <c r="C413" s="15"/>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5"/>
      <c r="B414" s="15"/>
      <c r="C414" s="15"/>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5"/>
      <c r="B415" s="15"/>
      <c r="C415" s="15"/>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5"/>
      <c r="B416" s="15"/>
      <c r="C416" s="15"/>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5"/>
      <c r="B417" s="15"/>
      <c r="C417" s="15"/>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5"/>
      <c r="B418" s="15"/>
      <c r="C418" s="15"/>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5"/>
      <c r="B419" s="15"/>
      <c r="C419" s="15"/>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5"/>
      <c r="B420" s="15"/>
      <c r="C420" s="15"/>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5"/>
      <c r="B421" s="15"/>
      <c r="C421" s="15"/>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5"/>
      <c r="B422" s="15"/>
      <c r="C422" s="15"/>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5"/>
      <c r="B423" s="15"/>
      <c r="C423" s="15"/>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5"/>
      <c r="B424" s="15"/>
      <c r="C424" s="15"/>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5"/>
      <c r="B425" s="15"/>
      <c r="C425" s="15"/>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5"/>
      <c r="B426" s="15"/>
      <c r="C426" s="15"/>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5"/>
      <c r="B427" s="15"/>
      <c r="C427" s="15"/>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5"/>
      <c r="B428" s="15"/>
      <c r="C428" s="15"/>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5"/>
      <c r="B429" s="15"/>
      <c r="C429" s="15"/>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5"/>
      <c r="B430" s="15"/>
      <c r="C430" s="15"/>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5"/>
      <c r="B431" s="15"/>
      <c r="C431" s="15"/>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5"/>
      <c r="B432" s="15"/>
      <c r="C432" s="15"/>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5"/>
      <c r="B433" s="15"/>
      <c r="C433" s="15"/>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5"/>
      <c r="B434" s="15"/>
      <c r="C434" s="15"/>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5"/>
      <c r="B435" s="15"/>
      <c r="C435" s="15"/>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5"/>
      <c r="B436" s="15"/>
      <c r="C436" s="15"/>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5"/>
      <c r="B437" s="15"/>
      <c r="C437" s="15"/>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5"/>
      <c r="B438" s="15"/>
      <c r="C438" s="15"/>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5"/>
      <c r="B439" s="15"/>
      <c r="C439" s="15"/>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5"/>
      <c r="B440" s="15"/>
      <c r="C440" s="15"/>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5"/>
      <c r="B441" s="15"/>
      <c r="C441" s="15"/>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5"/>
      <c r="B442" s="15"/>
      <c r="C442" s="15"/>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5"/>
      <c r="B443" s="15"/>
      <c r="C443" s="15"/>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5"/>
      <c r="B444" s="15"/>
      <c r="C444" s="15"/>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5"/>
      <c r="B445" s="15"/>
      <c r="C445" s="15"/>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5"/>
      <c r="B446" s="15"/>
      <c r="C446" s="15"/>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5"/>
      <c r="B447" s="15"/>
      <c r="C447" s="15"/>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5"/>
      <c r="B448" s="15"/>
      <c r="C448" s="15"/>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5"/>
      <c r="B449" s="15"/>
      <c r="C449" s="15"/>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5"/>
      <c r="B450" s="15"/>
      <c r="C450" s="15"/>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5"/>
      <c r="B451" s="15"/>
      <c r="C451" s="15"/>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5"/>
      <c r="B452" s="15"/>
      <c r="C452" s="15"/>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5"/>
      <c r="B453" s="15"/>
      <c r="C453" s="15"/>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5"/>
      <c r="B454" s="15"/>
      <c r="C454" s="15"/>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5"/>
      <c r="B455" s="15"/>
      <c r="C455" s="15"/>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5"/>
      <c r="B456" s="15"/>
      <c r="C456" s="15"/>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5"/>
      <c r="B457" s="15"/>
      <c r="C457" s="15"/>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5"/>
      <c r="B458" s="15"/>
      <c r="C458" s="15"/>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5"/>
      <c r="B459" s="15"/>
      <c r="C459" s="15"/>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5"/>
      <c r="B460" s="15"/>
      <c r="C460" s="15"/>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5"/>
      <c r="B461" s="15"/>
      <c r="C461" s="15"/>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5"/>
      <c r="B462" s="15"/>
      <c r="C462" s="15"/>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5"/>
      <c r="B463" s="15"/>
      <c r="C463" s="15"/>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5"/>
      <c r="B464" s="15"/>
      <c r="C464" s="15"/>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5"/>
      <c r="B465" s="15"/>
      <c r="C465" s="15"/>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5"/>
      <c r="B466" s="15"/>
      <c r="C466" s="15"/>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5"/>
      <c r="B467" s="15"/>
      <c r="C467" s="15"/>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5"/>
      <c r="B468" s="15"/>
      <c r="C468" s="15"/>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5"/>
      <c r="B469" s="15"/>
      <c r="C469" s="15"/>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5"/>
      <c r="B470" s="15"/>
      <c r="C470" s="15"/>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5"/>
      <c r="B471" s="15"/>
      <c r="C471" s="15"/>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5"/>
      <c r="B472" s="15"/>
      <c r="C472" s="15"/>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5"/>
      <c r="B473" s="15"/>
      <c r="C473" s="15"/>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5"/>
      <c r="B474" s="15"/>
      <c r="C474" s="15"/>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5"/>
      <c r="B475" s="15"/>
      <c r="C475" s="15"/>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5"/>
      <c r="B476" s="15"/>
      <c r="C476" s="15"/>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5"/>
      <c r="B477" s="15"/>
      <c r="C477" s="15"/>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5"/>
      <c r="B478" s="15"/>
      <c r="C478" s="15"/>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5"/>
      <c r="B479" s="15"/>
      <c r="C479" s="15"/>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5"/>
      <c r="B480" s="15"/>
      <c r="C480" s="15"/>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5"/>
      <c r="B481" s="15"/>
      <c r="C481" s="15"/>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5"/>
      <c r="B482" s="15"/>
      <c r="C482" s="15"/>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5"/>
      <c r="B483" s="15"/>
      <c r="C483" s="15"/>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5"/>
      <c r="B484" s="15"/>
      <c r="C484" s="15"/>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5"/>
      <c r="B485" s="15"/>
      <c r="C485" s="15"/>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5"/>
      <c r="B486" s="15"/>
      <c r="C486" s="15"/>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5"/>
      <c r="B487" s="15"/>
      <c r="C487" s="15"/>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5"/>
      <c r="B488" s="15"/>
      <c r="C488" s="15"/>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5"/>
      <c r="B489" s="15"/>
      <c r="C489" s="15"/>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5"/>
      <c r="B490" s="15"/>
      <c r="C490" s="15"/>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5"/>
      <c r="B491" s="15"/>
      <c r="C491" s="15"/>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5"/>
      <c r="B492" s="15"/>
      <c r="C492" s="15"/>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5"/>
      <c r="B493" s="15"/>
      <c r="C493" s="15"/>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5"/>
      <c r="B494" s="15"/>
      <c r="C494" s="15"/>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5"/>
      <c r="B495" s="15"/>
      <c r="C495" s="15"/>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5"/>
      <c r="B496" s="15"/>
      <c r="C496" s="15"/>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5"/>
      <c r="B497" s="15"/>
      <c r="C497" s="15"/>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5"/>
      <c r="B498" s="15"/>
      <c r="C498" s="15"/>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5"/>
      <c r="B499" s="15"/>
      <c r="C499" s="15"/>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5"/>
      <c r="B500" s="15"/>
      <c r="C500" s="15"/>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5"/>
      <c r="B501" s="15"/>
      <c r="C501" s="15"/>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5"/>
      <c r="B502" s="15"/>
      <c r="C502" s="15"/>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5"/>
      <c r="B503" s="15"/>
      <c r="C503" s="15"/>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5"/>
      <c r="B504" s="15"/>
      <c r="C504" s="15"/>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5"/>
      <c r="B505" s="15"/>
      <c r="C505" s="15"/>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5"/>
      <c r="B506" s="15"/>
      <c r="C506" s="15"/>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5"/>
      <c r="B507" s="15"/>
      <c r="C507" s="15"/>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5"/>
      <c r="B508" s="15"/>
      <c r="C508" s="15"/>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5"/>
      <c r="B509" s="15"/>
      <c r="C509" s="15"/>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5"/>
      <c r="B510" s="15"/>
      <c r="C510" s="15"/>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5"/>
      <c r="B511" s="15"/>
      <c r="C511" s="15"/>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5"/>
      <c r="B512" s="15"/>
      <c r="C512" s="15"/>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5"/>
      <c r="B513" s="15"/>
      <c r="C513" s="15"/>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5"/>
      <c r="B514" s="15"/>
      <c r="C514" s="15"/>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5"/>
      <c r="B515" s="15"/>
      <c r="C515" s="15"/>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5"/>
      <c r="B516" s="15"/>
      <c r="C516" s="15"/>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5"/>
      <c r="B517" s="15"/>
      <c r="C517" s="15"/>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5"/>
      <c r="B518" s="15"/>
      <c r="C518" s="15"/>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5"/>
      <c r="B519" s="15"/>
      <c r="C519" s="15"/>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5"/>
      <c r="B520" s="15"/>
      <c r="C520" s="15"/>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5"/>
      <c r="B521" s="15"/>
      <c r="C521" s="15"/>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5"/>
      <c r="B522" s="15"/>
      <c r="C522" s="15"/>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5"/>
      <c r="B523" s="15"/>
      <c r="C523" s="15"/>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5"/>
      <c r="B524" s="15"/>
      <c r="C524" s="15"/>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5"/>
      <c r="B525" s="15"/>
      <c r="C525" s="15"/>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5"/>
      <c r="B526" s="15"/>
      <c r="C526" s="15"/>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5"/>
      <c r="B527" s="15"/>
      <c r="C527" s="15"/>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5"/>
      <c r="B528" s="15"/>
      <c r="C528" s="15"/>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5"/>
      <c r="B529" s="15"/>
      <c r="C529" s="15"/>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5"/>
      <c r="B530" s="15"/>
      <c r="C530" s="15"/>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5"/>
      <c r="B531" s="15"/>
      <c r="C531" s="15"/>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5"/>
      <c r="B532" s="15"/>
      <c r="C532" s="15"/>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5"/>
      <c r="B533" s="15"/>
      <c r="C533" s="15"/>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5"/>
      <c r="B534" s="15"/>
      <c r="C534" s="15"/>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5"/>
      <c r="B535" s="15"/>
      <c r="C535" s="15"/>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5"/>
      <c r="B536" s="15"/>
      <c r="C536" s="15"/>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5"/>
      <c r="B537" s="15"/>
      <c r="C537" s="15"/>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5"/>
      <c r="B538" s="15"/>
      <c r="C538" s="15"/>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5"/>
      <c r="B539" s="15"/>
      <c r="C539" s="15"/>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5"/>
      <c r="B540" s="15"/>
      <c r="C540" s="15"/>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5"/>
      <c r="B541" s="15"/>
      <c r="C541" s="15"/>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5"/>
      <c r="B542" s="15"/>
      <c r="C542" s="15"/>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5"/>
      <c r="B543" s="15"/>
      <c r="C543" s="15"/>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5"/>
      <c r="B544" s="15"/>
      <c r="C544" s="15"/>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5"/>
      <c r="B545" s="15"/>
      <c r="C545" s="15"/>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5"/>
      <c r="B546" s="15"/>
      <c r="C546" s="15"/>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5"/>
      <c r="B547" s="15"/>
      <c r="C547" s="15"/>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5"/>
      <c r="B548" s="15"/>
      <c r="C548" s="15"/>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5"/>
      <c r="B549" s="15"/>
      <c r="C549" s="15"/>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5"/>
      <c r="B550" s="15"/>
      <c r="C550" s="15"/>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5"/>
      <c r="B551" s="15"/>
      <c r="C551" s="15"/>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5"/>
      <c r="B552" s="15"/>
      <c r="C552" s="15"/>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5"/>
      <c r="B553" s="15"/>
      <c r="C553" s="15"/>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5"/>
      <c r="B554" s="15"/>
      <c r="C554" s="15"/>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5"/>
      <c r="B555" s="15"/>
      <c r="C555" s="15"/>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5"/>
      <c r="B556" s="15"/>
      <c r="C556" s="15"/>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5"/>
      <c r="B557" s="15"/>
      <c r="C557" s="15"/>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5"/>
      <c r="B558" s="15"/>
      <c r="C558" s="15"/>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5"/>
      <c r="B559" s="15"/>
      <c r="C559" s="15"/>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5"/>
      <c r="B560" s="15"/>
      <c r="C560" s="15"/>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5"/>
      <c r="B561" s="15"/>
      <c r="C561" s="15"/>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5"/>
      <c r="B562" s="15"/>
      <c r="C562" s="15"/>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5"/>
      <c r="B563" s="15"/>
      <c r="C563" s="15"/>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5"/>
      <c r="B564" s="15"/>
      <c r="C564" s="15"/>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5"/>
      <c r="B565" s="15"/>
      <c r="C565" s="15"/>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5"/>
      <c r="B566" s="15"/>
      <c r="C566" s="15"/>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5"/>
      <c r="B567" s="15"/>
      <c r="C567" s="15"/>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5"/>
      <c r="B568" s="15"/>
      <c r="C568" s="15"/>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5"/>
      <c r="B569" s="15"/>
      <c r="C569" s="15"/>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5"/>
      <c r="B570" s="15"/>
      <c r="C570" s="15"/>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5"/>
      <c r="B571" s="15"/>
      <c r="C571" s="15"/>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5"/>
      <c r="B572" s="15"/>
      <c r="C572" s="15"/>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5"/>
      <c r="B573" s="15"/>
      <c r="C573" s="15"/>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5"/>
      <c r="B574" s="15"/>
      <c r="C574" s="15"/>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5"/>
      <c r="B575" s="15"/>
      <c r="C575" s="15"/>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5"/>
      <c r="B576" s="15"/>
      <c r="C576" s="15"/>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5"/>
      <c r="B577" s="15"/>
      <c r="C577" s="15"/>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5"/>
      <c r="B578" s="15"/>
      <c r="C578" s="15"/>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5"/>
      <c r="B579" s="15"/>
      <c r="C579" s="15"/>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5"/>
      <c r="B580" s="15"/>
      <c r="C580" s="15"/>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5"/>
      <c r="B581" s="15"/>
      <c r="C581" s="15"/>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5"/>
      <c r="B582" s="15"/>
      <c r="C582" s="15"/>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5"/>
      <c r="B583" s="15"/>
      <c r="C583" s="15"/>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5"/>
      <c r="B584" s="15"/>
      <c r="C584" s="15"/>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5"/>
      <c r="B585" s="15"/>
      <c r="C585" s="15"/>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5"/>
      <c r="B586" s="15"/>
      <c r="C586" s="15"/>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5"/>
      <c r="B587" s="15"/>
      <c r="C587" s="15"/>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5"/>
      <c r="B588" s="15"/>
      <c r="C588" s="15"/>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5"/>
      <c r="B589" s="15"/>
      <c r="C589" s="15"/>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5"/>
      <c r="B590" s="15"/>
      <c r="C590" s="15"/>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5"/>
      <c r="B591" s="15"/>
      <c r="C591" s="15"/>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5"/>
      <c r="B592" s="15"/>
      <c r="C592" s="15"/>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5"/>
      <c r="B593" s="15"/>
      <c r="C593" s="15"/>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5"/>
      <c r="B594" s="15"/>
      <c r="C594" s="15"/>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5"/>
      <c r="B595" s="15"/>
      <c r="C595" s="15"/>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5"/>
      <c r="B596" s="15"/>
      <c r="C596" s="15"/>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5"/>
      <c r="B597" s="15"/>
      <c r="C597" s="15"/>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5"/>
      <c r="B598" s="15"/>
      <c r="C598" s="15"/>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5"/>
      <c r="B599" s="15"/>
      <c r="C599" s="15"/>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5"/>
      <c r="B600" s="15"/>
      <c r="C600" s="15"/>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5"/>
      <c r="B601" s="15"/>
      <c r="C601" s="15"/>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5"/>
      <c r="B602" s="15"/>
      <c r="C602" s="15"/>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5"/>
      <c r="B603" s="15"/>
      <c r="C603" s="15"/>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5"/>
      <c r="B604" s="15"/>
      <c r="C604" s="15"/>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5"/>
      <c r="B605" s="15"/>
      <c r="C605" s="15"/>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5"/>
      <c r="B606" s="15"/>
      <c r="C606" s="15"/>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5"/>
      <c r="B607" s="15"/>
      <c r="C607" s="15"/>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5"/>
      <c r="B608" s="15"/>
      <c r="C608" s="15"/>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5"/>
      <c r="B609" s="15"/>
      <c r="C609" s="15"/>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5"/>
      <c r="B610" s="15"/>
      <c r="C610" s="15"/>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5"/>
      <c r="B611" s="15"/>
      <c r="C611" s="15"/>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5"/>
      <c r="B612" s="15"/>
      <c r="C612" s="15"/>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5"/>
      <c r="B613" s="15"/>
      <c r="C613" s="15"/>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5"/>
      <c r="B614" s="15"/>
      <c r="C614" s="15"/>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5"/>
      <c r="B615" s="15"/>
      <c r="C615" s="15"/>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5"/>
      <c r="B616" s="15"/>
      <c r="C616" s="15"/>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5"/>
      <c r="B617" s="15"/>
      <c r="C617" s="15"/>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5"/>
      <c r="B618" s="15"/>
      <c r="C618" s="15"/>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5"/>
      <c r="B619" s="15"/>
      <c r="C619" s="15"/>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5"/>
      <c r="B620" s="15"/>
      <c r="C620" s="15"/>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5"/>
      <c r="B621" s="15"/>
      <c r="C621" s="15"/>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5"/>
      <c r="B622" s="15"/>
      <c r="C622" s="15"/>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5"/>
      <c r="B623" s="15"/>
      <c r="C623" s="15"/>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5"/>
      <c r="B624" s="15"/>
      <c r="C624" s="15"/>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5"/>
      <c r="B625" s="15"/>
      <c r="C625" s="15"/>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5"/>
      <c r="B626" s="15"/>
      <c r="C626" s="15"/>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5"/>
      <c r="B627" s="15"/>
      <c r="C627" s="15"/>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5"/>
      <c r="B628" s="15"/>
      <c r="C628" s="15"/>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5"/>
      <c r="B629" s="15"/>
      <c r="C629" s="15"/>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5"/>
      <c r="B630" s="15"/>
      <c r="C630" s="15"/>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5"/>
      <c r="B631" s="15"/>
      <c r="C631" s="15"/>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5"/>
      <c r="B632" s="15"/>
      <c r="C632" s="15"/>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5"/>
      <c r="B633" s="15"/>
      <c r="C633" s="15"/>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5"/>
      <c r="B634" s="15"/>
      <c r="C634" s="15"/>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5"/>
      <c r="B635" s="15"/>
      <c r="C635" s="15"/>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5"/>
      <c r="B636" s="15"/>
      <c r="C636" s="15"/>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5"/>
      <c r="B637" s="15"/>
      <c r="C637" s="15"/>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5"/>
      <c r="B638" s="15"/>
      <c r="C638" s="15"/>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5"/>
      <c r="B639" s="15"/>
      <c r="C639" s="15"/>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5"/>
      <c r="B640" s="15"/>
      <c r="C640" s="15"/>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5"/>
      <c r="B641" s="15"/>
      <c r="C641" s="15"/>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5"/>
      <c r="B642" s="15"/>
      <c r="C642" s="15"/>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5"/>
      <c r="B643" s="15"/>
      <c r="C643" s="15"/>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5"/>
      <c r="B644" s="15"/>
      <c r="C644" s="15"/>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5"/>
      <c r="B645" s="15"/>
      <c r="C645" s="15"/>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5"/>
      <c r="B646" s="15"/>
      <c r="C646" s="15"/>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5"/>
      <c r="B647" s="15"/>
      <c r="C647" s="15"/>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5"/>
      <c r="B648" s="15"/>
      <c r="C648" s="15"/>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5"/>
      <c r="B649" s="15"/>
      <c r="C649" s="15"/>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5"/>
      <c r="B650" s="15"/>
      <c r="C650" s="15"/>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5"/>
      <c r="B651" s="15"/>
      <c r="C651" s="15"/>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5"/>
      <c r="B652" s="15"/>
      <c r="C652" s="15"/>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5"/>
      <c r="B653" s="15"/>
      <c r="C653" s="15"/>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5"/>
      <c r="B654" s="15"/>
      <c r="C654" s="15"/>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5"/>
      <c r="B655" s="15"/>
      <c r="C655" s="15"/>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5"/>
      <c r="B656" s="15"/>
      <c r="C656" s="15"/>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5"/>
      <c r="B657" s="15"/>
      <c r="C657" s="15"/>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5"/>
      <c r="B658" s="15"/>
      <c r="C658" s="15"/>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5"/>
      <c r="B659" s="15"/>
      <c r="C659" s="15"/>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5"/>
      <c r="B660" s="15"/>
      <c r="C660" s="15"/>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5"/>
      <c r="B661" s="15"/>
      <c r="C661" s="15"/>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5"/>
      <c r="B662" s="15"/>
      <c r="C662" s="15"/>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5"/>
      <c r="B663" s="15"/>
      <c r="C663" s="15"/>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5"/>
      <c r="B664" s="15"/>
      <c r="C664" s="15"/>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5"/>
      <c r="B665" s="15"/>
      <c r="C665" s="15"/>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5"/>
      <c r="B666" s="15"/>
      <c r="C666" s="15"/>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5"/>
      <c r="B667" s="15"/>
      <c r="C667" s="15"/>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5"/>
      <c r="B668" s="15"/>
      <c r="C668" s="15"/>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5"/>
      <c r="B669" s="15"/>
      <c r="C669" s="15"/>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5"/>
      <c r="B670" s="15"/>
      <c r="C670" s="15"/>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5"/>
      <c r="B671" s="15"/>
      <c r="C671" s="15"/>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5"/>
      <c r="B672" s="15"/>
      <c r="C672" s="15"/>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5"/>
      <c r="B673" s="15"/>
      <c r="C673" s="15"/>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5"/>
      <c r="B674" s="15"/>
      <c r="C674" s="15"/>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5"/>
      <c r="B675" s="15"/>
      <c r="C675" s="15"/>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5"/>
      <c r="B676" s="15"/>
      <c r="C676" s="15"/>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5"/>
      <c r="B677" s="15"/>
      <c r="C677" s="15"/>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5"/>
      <c r="B678" s="15"/>
      <c r="C678" s="15"/>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5"/>
      <c r="B679" s="15"/>
      <c r="C679" s="15"/>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5"/>
      <c r="B680" s="15"/>
      <c r="C680" s="15"/>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5"/>
      <c r="B681" s="15"/>
      <c r="C681" s="15"/>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5"/>
      <c r="B682" s="15"/>
      <c r="C682" s="15"/>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5"/>
      <c r="B683" s="15"/>
      <c r="C683" s="15"/>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5"/>
      <c r="B684" s="15"/>
      <c r="C684" s="15"/>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5"/>
      <c r="B685" s="15"/>
      <c r="C685" s="15"/>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5"/>
      <c r="B686" s="15"/>
      <c r="C686" s="15"/>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5"/>
      <c r="B687" s="15"/>
      <c r="C687" s="15"/>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5"/>
      <c r="B688" s="15"/>
      <c r="C688" s="15"/>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5"/>
      <c r="B689" s="15"/>
      <c r="C689" s="15"/>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5"/>
      <c r="B690" s="15"/>
      <c r="C690" s="15"/>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5"/>
      <c r="B691" s="15"/>
      <c r="C691" s="15"/>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5"/>
      <c r="B692" s="15"/>
      <c r="C692" s="15"/>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5"/>
      <c r="B693" s="15"/>
      <c r="C693" s="15"/>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5"/>
      <c r="B694" s="15"/>
      <c r="C694" s="15"/>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5"/>
      <c r="B695" s="15"/>
      <c r="C695" s="15"/>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5"/>
      <c r="B696" s="15"/>
      <c r="C696" s="15"/>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5"/>
      <c r="B697" s="15"/>
      <c r="C697" s="15"/>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5"/>
      <c r="B698" s="15"/>
      <c r="C698" s="15"/>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5"/>
      <c r="B699" s="15"/>
      <c r="C699" s="15"/>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5"/>
      <c r="B700" s="15"/>
      <c r="C700" s="15"/>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5"/>
      <c r="B701" s="15"/>
      <c r="C701" s="15"/>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5"/>
      <c r="B702" s="15"/>
      <c r="C702" s="15"/>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5"/>
      <c r="B703" s="15"/>
      <c r="C703" s="15"/>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5"/>
      <c r="B704" s="15"/>
      <c r="C704" s="15"/>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5"/>
      <c r="B705" s="15"/>
      <c r="C705" s="15"/>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5"/>
      <c r="B706" s="15"/>
      <c r="C706" s="15"/>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5"/>
      <c r="B707" s="15"/>
      <c r="C707" s="15"/>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5"/>
      <c r="B708" s="15"/>
      <c r="C708" s="15"/>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5"/>
      <c r="B709" s="15"/>
      <c r="C709" s="15"/>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5"/>
      <c r="B710" s="15"/>
      <c r="C710" s="15"/>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5"/>
      <c r="B711" s="15"/>
      <c r="C711" s="15"/>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5"/>
      <c r="B712" s="15"/>
      <c r="C712" s="15"/>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5"/>
      <c r="B713" s="15"/>
      <c r="C713" s="15"/>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5"/>
      <c r="B714" s="15"/>
      <c r="C714" s="15"/>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5"/>
      <c r="B715" s="15"/>
      <c r="C715" s="15"/>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5"/>
      <c r="B716" s="15"/>
      <c r="C716" s="15"/>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5"/>
      <c r="B717" s="15"/>
      <c r="C717" s="15"/>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5"/>
      <c r="B718" s="15"/>
      <c r="C718" s="15"/>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5"/>
      <c r="B719" s="15"/>
      <c r="C719" s="15"/>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5"/>
      <c r="B720" s="15"/>
      <c r="C720" s="15"/>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5"/>
      <c r="B721" s="15"/>
      <c r="C721" s="15"/>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5"/>
      <c r="B722" s="15"/>
      <c r="C722" s="15"/>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5"/>
      <c r="B723" s="15"/>
      <c r="C723" s="15"/>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5"/>
      <c r="B724" s="15"/>
      <c r="C724" s="15"/>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5"/>
      <c r="B725" s="15"/>
      <c r="C725" s="15"/>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5"/>
      <c r="B726" s="15"/>
      <c r="C726" s="15"/>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5"/>
      <c r="B727" s="15"/>
      <c r="C727" s="15"/>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5"/>
      <c r="B728" s="15"/>
      <c r="C728" s="15"/>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5"/>
      <c r="B729" s="15"/>
      <c r="C729" s="15"/>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5"/>
      <c r="B730" s="15"/>
      <c r="C730" s="15"/>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5"/>
      <c r="B731" s="15"/>
      <c r="C731" s="15"/>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5"/>
      <c r="B732" s="15"/>
      <c r="C732" s="15"/>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5"/>
      <c r="B733" s="15"/>
      <c r="C733" s="15"/>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5"/>
      <c r="B734" s="15"/>
      <c r="C734" s="15"/>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5"/>
      <c r="B735" s="15"/>
      <c r="C735" s="15"/>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5"/>
      <c r="B736" s="15"/>
      <c r="C736" s="15"/>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5"/>
      <c r="B737" s="15"/>
      <c r="C737" s="15"/>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5"/>
      <c r="B738" s="15"/>
      <c r="C738" s="15"/>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5"/>
      <c r="B739" s="15"/>
      <c r="C739" s="15"/>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5"/>
      <c r="B740" s="15"/>
      <c r="C740" s="15"/>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5"/>
      <c r="B741" s="15"/>
      <c r="C741" s="15"/>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5"/>
      <c r="B742" s="15"/>
      <c r="C742" s="15"/>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5"/>
      <c r="B743" s="15"/>
      <c r="C743" s="15"/>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5"/>
      <c r="B744" s="15"/>
      <c r="C744" s="15"/>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5"/>
      <c r="B745" s="15"/>
      <c r="C745" s="15"/>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5"/>
      <c r="B746" s="15"/>
      <c r="C746" s="15"/>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5"/>
      <c r="B747" s="15"/>
      <c r="C747" s="15"/>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5"/>
      <c r="B748" s="15"/>
      <c r="C748" s="15"/>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5"/>
      <c r="B749" s="15"/>
      <c r="C749" s="15"/>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5"/>
      <c r="B750" s="15"/>
      <c r="C750" s="15"/>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5"/>
      <c r="B751" s="15"/>
      <c r="C751" s="15"/>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5"/>
      <c r="B752" s="15"/>
      <c r="C752" s="15"/>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5"/>
      <c r="B753" s="15"/>
      <c r="C753" s="15"/>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5"/>
      <c r="B754" s="15"/>
      <c r="C754" s="15"/>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5"/>
      <c r="B755" s="15"/>
      <c r="C755" s="15"/>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5"/>
      <c r="B756" s="15"/>
      <c r="C756" s="15"/>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5"/>
      <c r="B757" s="15"/>
      <c r="C757" s="15"/>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5"/>
      <c r="B758" s="15"/>
      <c r="C758" s="15"/>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5"/>
      <c r="B759" s="15"/>
      <c r="C759" s="15"/>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5"/>
      <c r="B760" s="15"/>
      <c r="C760" s="15"/>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5"/>
      <c r="B761" s="15"/>
      <c r="C761" s="15"/>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5"/>
      <c r="B762" s="15"/>
      <c r="C762" s="15"/>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5"/>
      <c r="B763" s="15"/>
      <c r="C763" s="15"/>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5"/>
      <c r="B764" s="15"/>
      <c r="C764" s="15"/>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5"/>
      <c r="B765" s="15"/>
      <c r="C765" s="15"/>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5"/>
      <c r="B766" s="15"/>
      <c r="C766" s="15"/>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5"/>
      <c r="B767" s="15"/>
      <c r="C767" s="15"/>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5"/>
      <c r="B768" s="15"/>
      <c r="C768" s="15"/>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5"/>
      <c r="B769" s="15"/>
      <c r="C769" s="15"/>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5"/>
      <c r="B770" s="15"/>
      <c r="C770" s="15"/>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5"/>
      <c r="B771" s="15"/>
      <c r="C771" s="15"/>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5"/>
      <c r="B772" s="15"/>
      <c r="C772" s="15"/>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5"/>
      <c r="B773" s="15"/>
      <c r="C773" s="15"/>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5"/>
      <c r="B774" s="15"/>
      <c r="C774" s="15"/>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5"/>
      <c r="B775" s="15"/>
      <c r="C775" s="15"/>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5"/>
      <c r="B776" s="15"/>
      <c r="C776" s="15"/>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5"/>
      <c r="B777" s="15"/>
      <c r="C777" s="15"/>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5"/>
      <c r="B778" s="15"/>
      <c r="C778" s="15"/>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5"/>
      <c r="B779" s="15"/>
      <c r="C779" s="15"/>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5"/>
      <c r="B780" s="15"/>
      <c r="C780" s="15"/>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5"/>
      <c r="B781" s="15"/>
      <c r="C781" s="15"/>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5"/>
      <c r="B782" s="15"/>
      <c r="C782" s="15"/>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5"/>
      <c r="B783" s="15"/>
      <c r="C783" s="15"/>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5"/>
      <c r="B784" s="15"/>
      <c r="C784" s="15"/>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5"/>
      <c r="B785" s="15"/>
      <c r="C785" s="15"/>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5"/>
      <c r="B786" s="15"/>
      <c r="C786" s="15"/>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5"/>
      <c r="B787" s="15"/>
      <c r="C787" s="15"/>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5"/>
      <c r="B788" s="15"/>
      <c r="C788" s="15"/>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5"/>
      <c r="B789" s="15"/>
      <c r="C789" s="15"/>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5"/>
      <c r="B790" s="15"/>
      <c r="C790" s="15"/>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5"/>
      <c r="B791" s="15"/>
      <c r="C791" s="15"/>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5"/>
      <c r="B792" s="15"/>
      <c r="C792" s="15"/>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5"/>
      <c r="B793" s="15"/>
      <c r="C793" s="15"/>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5"/>
      <c r="B794" s="15"/>
      <c r="C794" s="15"/>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5"/>
      <c r="B795" s="15"/>
      <c r="C795" s="15"/>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5"/>
      <c r="B796" s="15"/>
      <c r="C796" s="15"/>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5"/>
      <c r="B797" s="15"/>
      <c r="C797" s="15"/>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5"/>
      <c r="B798" s="15"/>
      <c r="C798" s="15"/>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5"/>
      <c r="B799" s="15"/>
      <c r="C799" s="15"/>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5"/>
      <c r="B800" s="15"/>
      <c r="C800" s="15"/>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5"/>
      <c r="B801" s="15"/>
      <c r="C801" s="15"/>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5"/>
      <c r="B802" s="15"/>
      <c r="C802" s="15"/>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5"/>
      <c r="B803" s="15"/>
      <c r="C803" s="15"/>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5"/>
      <c r="B804" s="15"/>
      <c r="C804" s="15"/>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5"/>
      <c r="B805" s="15"/>
      <c r="C805" s="15"/>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5"/>
      <c r="B806" s="15"/>
      <c r="C806" s="15"/>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5"/>
      <c r="B807" s="15"/>
      <c r="C807" s="15"/>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5"/>
      <c r="B808" s="15"/>
      <c r="C808" s="15"/>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5"/>
      <c r="B809" s="15"/>
      <c r="C809" s="15"/>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5"/>
      <c r="B810" s="15"/>
      <c r="C810" s="15"/>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5"/>
      <c r="B811" s="15"/>
      <c r="C811" s="15"/>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5"/>
      <c r="B812" s="15"/>
      <c r="C812" s="15"/>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5"/>
      <c r="B813" s="15"/>
      <c r="C813" s="15"/>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5"/>
      <c r="B814" s="15"/>
      <c r="C814" s="15"/>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5"/>
      <c r="B815" s="15"/>
      <c r="C815" s="15"/>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5"/>
      <c r="B816" s="15"/>
      <c r="C816" s="15"/>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5"/>
      <c r="B817" s="15"/>
      <c r="C817" s="15"/>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5"/>
      <c r="B818" s="15"/>
      <c r="C818" s="15"/>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5"/>
      <c r="B819" s="15"/>
      <c r="C819" s="15"/>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5"/>
      <c r="B820" s="15"/>
      <c r="C820" s="15"/>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5"/>
      <c r="B821" s="15"/>
      <c r="C821" s="15"/>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5"/>
      <c r="B822" s="15"/>
      <c r="C822" s="15"/>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5"/>
      <c r="B823" s="15"/>
      <c r="C823" s="15"/>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5"/>
      <c r="B824" s="15"/>
      <c r="C824" s="15"/>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5"/>
      <c r="B825" s="15"/>
      <c r="C825" s="15"/>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5"/>
      <c r="B826" s="15"/>
      <c r="C826" s="15"/>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5"/>
      <c r="B827" s="15"/>
      <c r="C827" s="15"/>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5"/>
      <c r="B828" s="15"/>
      <c r="C828" s="15"/>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5"/>
      <c r="B829" s="15"/>
      <c r="C829" s="15"/>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5"/>
      <c r="B830" s="15"/>
      <c r="C830" s="15"/>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5"/>
      <c r="B831" s="15"/>
      <c r="C831" s="15"/>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5"/>
      <c r="B832" s="15"/>
      <c r="C832" s="15"/>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5"/>
      <c r="B833" s="15"/>
      <c r="C833" s="15"/>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5"/>
      <c r="B834" s="15"/>
      <c r="C834" s="15"/>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5"/>
      <c r="B835" s="15"/>
      <c r="C835" s="15"/>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5"/>
      <c r="B836" s="15"/>
      <c r="C836" s="15"/>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5"/>
      <c r="B837" s="15"/>
      <c r="C837" s="15"/>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5"/>
      <c r="B838" s="15"/>
      <c r="C838" s="15"/>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5"/>
      <c r="B839" s="15"/>
      <c r="C839" s="15"/>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5"/>
      <c r="B840" s="15"/>
      <c r="C840" s="15"/>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5"/>
      <c r="B841" s="15"/>
      <c r="C841" s="15"/>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5"/>
      <c r="B842" s="15"/>
      <c r="C842" s="15"/>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5"/>
      <c r="B843" s="15"/>
      <c r="C843" s="15"/>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5"/>
      <c r="B844" s="15"/>
      <c r="C844" s="15"/>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5"/>
      <c r="B845" s="15"/>
      <c r="C845" s="15"/>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5"/>
      <c r="B846" s="15"/>
      <c r="C846" s="15"/>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5"/>
      <c r="B847" s="15"/>
      <c r="C847" s="15"/>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5"/>
      <c r="B848" s="15"/>
      <c r="C848" s="15"/>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5"/>
      <c r="B849" s="15"/>
      <c r="C849" s="15"/>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5"/>
      <c r="B850" s="15"/>
      <c r="C850" s="15"/>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5"/>
      <c r="B851" s="15"/>
      <c r="C851" s="15"/>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5"/>
      <c r="B852" s="15"/>
      <c r="C852" s="15"/>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5"/>
      <c r="B853" s="15"/>
      <c r="C853" s="15"/>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5"/>
      <c r="B854" s="15"/>
      <c r="C854" s="15"/>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5"/>
      <c r="B855" s="15"/>
      <c r="C855" s="15"/>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5"/>
      <c r="B856" s="15"/>
      <c r="C856" s="15"/>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5"/>
      <c r="B857" s="15"/>
      <c r="C857" s="15"/>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5"/>
      <c r="B858" s="15"/>
      <c r="C858" s="15"/>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5"/>
      <c r="B859" s="15"/>
      <c r="C859" s="15"/>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5"/>
      <c r="B860" s="15"/>
      <c r="C860" s="15"/>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5"/>
      <c r="B861" s="15"/>
      <c r="C861" s="15"/>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5"/>
      <c r="B862" s="15"/>
      <c r="C862" s="15"/>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5"/>
      <c r="B863" s="15"/>
      <c r="C863" s="15"/>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5"/>
      <c r="B864" s="15"/>
      <c r="C864" s="15"/>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5"/>
      <c r="B865" s="15"/>
      <c r="C865" s="15"/>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5"/>
      <c r="B866" s="15"/>
      <c r="C866" s="15"/>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5"/>
      <c r="B867" s="15"/>
      <c r="C867" s="15"/>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5"/>
      <c r="B868" s="15"/>
      <c r="C868" s="15"/>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5"/>
      <c r="B869" s="15"/>
      <c r="C869" s="15"/>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5"/>
      <c r="B870" s="15"/>
      <c r="C870" s="15"/>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5"/>
      <c r="B871" s="15"/>
      <c r="C871" s="15"/>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5"/>
      <c r="B872" s="15"/>
      <c r="C872" s="15"/>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5"/>
      <c r="B873" s="15"/>
      <c r="C873" s="15"/>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5"/>
      <c r="B874" s="15"/>
      <c r="C874" s="15"/>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5"/>
      <c r="B875" s="15"/>
      <c r="C875" s="15"/>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5"/>
      <c r="B876" s="15"/>
      <c r="C876" s="15"/>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5"/>
      <c r="B877" s="15"/>
      <c r="C877" s="15"/>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5"/>
      <c r="B878" s="15"/>
      <c r="C878" s="15"/>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5"/>
      <c r="B879" s="15"/>
      <c r="C879" s="15"/>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5"/>
      <c r="B880" s="15"/>
      <c r="C880" s="15"/>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5"/>
      <c r="B881" s="15"/>
      <c r="C881" s="15"/>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5"/>
      <c r="B882" s="15"/>
      <c r="C882" s="15"/>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5"/>
      <c r="B883" s="15"/>
      <c r="C883" s="15"/>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5"/>
      <c r="B884" s="15"/>
      <c r="C884" s="15"/>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5"/>
      <c r="B885" s="15"/>
      <c r="C885" s="15"/>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5"/>
      <c r="B886" s="15"/>
      <c r="C886" s="15"/>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5"/>
      <c r="B887" s="15"/>
      <c r="C887" s="15"/>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5"/>
      <c r="B888" s="15"/>
      <c r="C888" s="15"/>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5"/>
      <c r="B889" s="15"/>
      <c r="C889" s="15"/>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5"/>
      <c r="B890" s="15"/>
      <c r="C890" s="15"/>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5"/>
      <c r="B891" s="15"/>
      <c r="C891" s="15"/>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5"/>
      <c r="B892" s="15"/>
      <c r="C892" s="15"/>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5"/>
      <c r="B893" s="15"/>
      <c r="C893" s="15"/>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5"/>
      <c r="B894" s="15"/>
      <c r="C894" s="15"/>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5"/>
      <c r="B895" s="15"/>
      <c r="C895" s="15"/>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5"/>
      <c r="B896" s="15"/>
      <c r="C896" s="15"/>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5"/>
      <c r="B897" s="15"/>
      <c r="C897" s="15"/>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5"/>
      <c r="B898" s="15"/>
      <c r="C898" s="15"/>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5"/>
      <c r="B899" s="15"/>
      <c r="C899" s="15"/>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5"/>
      <c r="B900" s="15"/>
      <c r="C900" s="15"/>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5"/>
      <c r="B901" s="15"/>
      <c r="C901" s="15"/>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5"/>
      <c r="B902" s="15"/>
      <c r="C902" s="15"/>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5"/>
      <c r="B903" s="15"/>
      <c r="C903" s="15"/>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5"/>
      <c r="B904" s="15"/>
      <c r="C904" s="15"/>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5"/>
      <c r="B905" s="15"/>
      <c r="C905" s="15"/>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5"/>
      <c r="B906" s="15"/>
      <c r="C906" s="15"/>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5"/>
      <c r="B907" s="15"/>
      <c r="C907" s="15"/>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5"/>
      <c r="B908" s="15"/>
      <c r="C908" s="15"/>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5"/>
      <c r="B909" s="15"/>
      <c r="C909" s="15"/>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5"/>
      <c r="B910" s="15"/>
      <c r="C910" s="15"/>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5"/>
      <c r="B911" s="15"/>
      <c r="C911" s="15"/>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5"/>
      <c r="B912" s="15"/>
      <c r="C912" s="15"/>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5"/>
      <c r="B913" s="15"/>
      <c r="C913" s="15"/>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5"/>
      <c r="B914" s="15"/>
      <c r="C914" s="15"/>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5"/>
      <c r="B915" s="15"/>
      <c r="C915" s="15"/>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5"/>
      <c r="B916" s="15"/>
      <c r="C916" s="15"/>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5"/>
      <c r="B917" s="15"/>
      <c r="C917" s="15"/>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5"/>
      <c r="B918" s="15"/>
      <c r="C918" s="15"/>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5"/>
      <c r="B919" s="15"/>
      <c r="C919" s="15"/>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5"/>
      <c r="B920" s="15"/>
      <c r="C920" s="15"/>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5"/>
      <c r="B921" s="15"/>
      <c r="C921" s="15"/>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5"/>
      <c r="B922" s="15"/>
      <c r="C922" s="15"/>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5"/>
      <c r="B923" s="15"/>
      <c r="C923" s="15"/>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5"/>
      <c r="B924" s="15"/>
      <c r="C924" s="15"/>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5"/>
      <c r="B925" s="15"/>
      <c r="C925" s="15"/>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5"/>
      <c r="B926" s="15"/>
      <c r="C926" s="15"/>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5"/>
      <c r="B927" s="15"/>
      <c r="C927" s="15"/>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5"/>
      <c r="B928" s="15"/>
      <c r="C928" s="15"/>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5"/>
      <c r="B929" s="15"/>
      <c r="C929" s="15"/>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5"/>
      <c r="B930" s="15"/>
      <c r="C930" s="15"/>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5"/>
      <c r="B931" s="15"/>
      <c r="C931" s="15"/>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5"/>
      <c r="B932" s="15"/>
      <c r="C932" s="15"/>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5"/>
      <c r="B933" s="15"/>
      <c r="C933" s="15"/>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5"/>
      <c r="B934" s="15"/>
      <c r="C934" s="15"/>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5"/>
      <c r="B935" s="15"/>
      <c r="C935" s="15"/>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5"/>
      <c r="B936" s="15"/>
      <c r="C936" s="15"/>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5"/>
      <c r="B937" s="15"/>
      <c r="C937" s="15"/>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5"/>
      <c r="B938" s="15"/>
      <c r="C938" s="15"/>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5"/>
      <c r="B939" s="15"/>
      <c r="C939" s="15"/>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5"/>
      <c r="B940" s="15"/>
      <c r="C940" s="15"/>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5"/>
      <c r="B941" s="15"/>
      <c r="C941" s="15"/>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5"/>
      <c r="B942" s="15"/>
      <c r="C942" s="15"/>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5"/>
      <c r="B943" s="15"/>
      <c r="C943" s="15"/>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5"/>
      <c r="B944" s="15"/>
      <c r="C944" s="15"/>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5"/>
      <c r="B945" s="15"/>
      <c r="C945" s="15"/>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5"/>
      <c r="B946" s="15"/>
      <c r="C946" s="15"/>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5"/>
      <c r="B947" s="15"/>
      <c r="C947" s="15"/>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5"/>
      <c r="B948" s="15"/>
      <c r="C948" s="15"/>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5"/>
      <c r="B949" s="15"/>
      <c r="C949" s="15"/>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5"/>
      <c r="B950" s="15"/>
      <c r="C950" s="15"/>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5"/>
      <c r="B951" s="15"/>
      <c r="C951" s="15"/>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5"/>
      <c r="B952" s="15"/>
      <c r="C952" s="15"/>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5"/>
      <c r="B953" s="15"/>
      <c r="C953" s="15"/>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5"/>
      <c r="B954" s="15"/>
      <c r="C954" s="15"/>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5"/>
      <c r="B955" s="15"/>
      <c r="C955" s="15"/>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5"/>
      <c r="B956" s="15"/>
      <c r="C956" s="15"/>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5"/>
      <c r="B957" s="15"/>
      <c r="C957" s="15"/>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5"/>
      <c r="B958" s="15"/>
      <c r="C958" s="15"/>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5"/>
      <c r="B959" s="15"/>
      <c r="C959" s="15"/>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5"/>
      <c r="B960" s="15"/>
      <c r="C960" s="15"/>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5"/>
      <c r="B961" s="15"/>
      <c r="C961" s="15"/>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5"/>
      <c r="B962" s="15"/>
      <c r="C962" s="15"/>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5"/>
      <c r="B963" s="15"/>
      <c r="C963" s="15"/>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5"/>
      <c r="B964" s="15"/>
      <c r="C964" s="15"/>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5"/>
      <c r="B965" s="15"/>
      <c r="C965" s="15"/>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5"/>
      <c r="B966" s="15"/>
      <c r="C966" s="15"/>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5"/>
      <c r="B967" s="15"/>
      <c r="C967" s="15"/>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5"/>
      <c r="B968" s="15"/>
      <c r="C968" s="15"/>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5"/>
      <c r="B969" s="15"/>
      <c r="C969" s="15"/>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5"/>
      <c r="B970" s="15"/>
      <c r="C970" s="15"/>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5"/>
      <c r="B971" s="15"/>
      <c r="C971" s="15"/>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5"/>
      <c r="B972" s="15"/>
      <c r="C972" s="15"/>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5"/>
      <c r="B973" s="15"/>
      <c r="C973" s="15"/>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5"/>
      <c r="B974" s="15"/>
      <c r="C974" s="15"/>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5"/>
      <c r="B975" s="15"/>
      <c r="C975" s="15"/>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5"/>
      <c r="B976" s="15"/>
      <c r="C976" s="15"/>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5"/>
      <c r="B977" s="15"/>
      <c r="C977" s="15"/>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5"/>
      <c r="B978" s="15"/>
      <c r="C978" s="15"/>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5"/>
      <c r="B979" s="15"/>
      <c r="C979" s="15"/>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5"/>
      <c r="B980" s="15"/>
      <c r="C980" s="15"/>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5"/>
      <c r="B981" s="15"/>
      <c r="C981" s="15"/>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5"/>
      <c r="B982" s="15"/>
      <c r="C982" s="15"/>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5"/>
      <c r="B983" s="15"/>
      <c r="C983" s="15"/>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5"/>
      <c r="B984" s="15"/>
      <c r="C984" s="15"/>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5"/>
      <c r="B985" s="15"/>
      <c r="C985" s="15"/>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5"/>
      <c r="B986" s="15"/>
      <c r="C986" s="15"/>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5"/>
      <c r="B987" s="15"/>
      <c r="C987" s="15"/>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5"/>
      <c r="B988" s="15"/>
      <c r="C988" s="15"/>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5"/>
      <c r="B989" s="15"/>
      <c r="C989" s="15"/>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5"/>
      <c r="B990" s="15"/>
      <c r="C990" s="15"/>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5"/>
      <c r="B991" s="15"/>
      <c r="C991" s="15"/>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5"/>
      <c r="B992" s="15"/>
      <c r="C992" s="15"/>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5"/>
      <c r="B993" s="15"/>
      <c r="C993" s="15"/>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5"/>
      <c r="B994" s="15"/>
      <c r="C994" s="15"/>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5"/>
      <c r="B995" s="15"/>
      <c r="C995" s="15"/>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5"/>
      <c r="B996" s="15"/>
      <c r="C996" s="15"/>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5"/>
      <c r="B997" s="15"/>
      <c r="C997" s="15"/>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5"/>
      <c r="B998" s="15"/>
      <c r="C998" s="15"/>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5"/>
      <c r="B999" s="15"/>
      <c r="C999" s="15"/>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5"/>
      <c r="B1000" s="15"/>
      <c r="C1000" s="15"/>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13"/>
  </cols>
  <sheetData>
    <row r="1">
      <c r="A1" s="17" t="s">
        <v>294</v>
      </c>
      <c r="B1" s="6"/>
      <c r="C1" s="6"/>
      <c r="D1" s="6"/>
      <c r="E1" s="6"/>
      <c r="F1" s="6"/>
      <c r="G1" s="6"/>
      <c r="H1" s="6"/>
      <c r="I1" s="6"/>
      <c r="J1" s="6"/>
      <c r="K1" s="6"/>
      <c r="L1" s="6"/>
      <c r="M1" s="6"/>
      <c r="N1" s="6"/>
      <c r="O1" s="6"/>
      <c r="P1" s="6"/>
      <c r="Q1" s="6"/>
      <c r="R1" s="6"/>
      <c r="S1" s="6"/>
      <c r="T1" s="6"/>
      <c r="U1" s="6"/>
      <c r="V1" s="6"/>
      <c r="W1" s="6"/>
      <c r="X1" s="6"/>
      <c r="Y1" s="6"/>
      <c r="Z1" s="6"/>
    </row>
    <row r="2">
      <c r="A2" s="17" t="s">
        <v>295</v>
      </c>
      <c r="B2" s="6"/>
      <c r="C2" s="6"/>
      <c r="D2" s="6"/>
      <c r="E2" s="6"/>
      <c r="F2" s="6"/>
      <c r="G2" s="6"/>
      <c r="H2" s="6"/>
      <c r="I2" s="6"/>
      <c r="J2" s="6"/>
      <c r="K2" s="6"/>
      <c r="L2" s="6"/>
      <c r="M2" s="6"/>
      <c r="N2" s="6"/>
      <c r="O2" s="6"/>
      <c r="P2" s="6"/>
      <c r="Q2" s="6"/>
      <c r="R2" s="6"/>
      <c r="S2" s="6"/>
      <c r="T2" s="6"/>
      <c r="U2" s="6"/>
      <c r="V2" s="6"/>
      <c r="W2" s="6"/>
      <c r="X2" s="6"/>
      <c r="Y2" s="6"/>
      <c r="Z2" s="6"/>
    </row>
    <row r="3">
      <c r="A3" s="17" t="s">
        <v>296</v>
      </c>
      <c r="B3" s="6"/>
      <c r="C3" s="6"/>
      <c r="D3" s="6"/>
      <c r="E3" s="6"/>
      <c r="F3" s="6"/>
      <c r="G3" s="6"/>
      <c r="H3" s="6"/>
      <c r="I3" s="6"/>
      <c r="J3" s="6"/>
      <c r="K3" s="6"/>
      <c r="L3" s="6"/>
      <c r="M3" s="6"/>
      <c r="N3" s="6"/>
      <c r="O3" s="6"/>
      <c r="P3" s="6"/>
      <c r="Q3" s="6"/>
      <c r="R3" s="6"/>
      <c r="S3" s="6"/>
      <c r="T3" s="6"/>
      <c r="U3" s="6"/>
      <c r="V3" s="6"/>
      <c r="W3" s="6"/>
      <c r="X3" s="6"/>
      <c r="Y3" s="6"/>
      <c r="Z3" s="6"/>
    </row>
    <row r="4">
      <c r="A4" s="18" t="s">
        <v>297</v>
      </c>
      <c r="B4" s="6"/>
      <c r="C4" s="6"/>
      <c r="D4" s="6"/>
      <c r="E4" s="6"/>
      <c r="F4" s="6"/>
      <c r="G4" s="6"/>
      <c r="H4" s="6"/>
      <c r="I4" s="6"/>
      <c r="J4" s="6"/>
      <c r="K4" s="6"/>
      <c r="L4" s="6"/>
      <c r="M4" s="6"/>
      <c r="N4" s="6"/>
      <c r="O4" s="6"/>
      <c r="P4" s="6"/>
      <c r="Q4" s="6"/>
      <c r="R4" s="6"/>
      <c r="S4" s="6"/>
      <c r="T4" s="6"/>
      <c r="U4" s="6"/>
      <c r="V4" s="6"/>
      <c r="W4" s="6"/>
      <c r="X4" s="6"/>
      <c r="Y4" s="6"/>
      <c r="Z4" s="6"/>
    </row>
    <row r="5">
      <c r="A5" s="18" t="s">
        <v>298</v>
      </c>
      <c r="B5" s="6"/>
      <c r="C5" s="6"/>
      <c r="D5" s="6"/>
      <c r="E5" s="6"/>
      <c r="F5" s="6"/>
      <c r="G5" s="6"/>
      <c r="H5" s="6"/>
      <c r="I5" s="6"/>
      <c r="J5" s="6"/>
      <c r="K5" s="6"/>
      <c r="L5" s="6"/>
      <c r="M5" s="6"/>
      <c r="N5" s="6"/>
      <c r="O5" s="6"/>
      <c r="P5" s="6"/>
      <c r="Q5" s="6"/>
      <c r="R5" s="6"/>
      <c r="S5" s="6"/>
      <c r="T5" s="6"/>
      <c r="U5" s="6"/>
      <c r="V5" s="6"/>
      <c r="W5" s="6"/>
      <c r="X5" s="6"/>
      <c r="Y5" s="6"/>
      <c r="Z5" s="6"/>
    </row>
    <row r="6">
      <c r="A6" s="18" t="s">
        <v>299</v>
      </c>
      <c r="B6" s="6"/>
      <c r="C6" s="6"/>
      <c r="D6" s="6"/>
      <c r="E6" s="6"/>
      <c r="F6" s="6"/>
      <c r="G6" s="6"/>
      <c r="H6" s="6"/>
      <c r="I6" s="6"/>
      <c r="J6" s="6"/>
      <c r="K6" s="6"/>
      <c r="L6" s="6"/>
      <c r="M6" s="6"/>
      <c r="N6" s="6"/>
      <c r="O6" s="6"/>
      <c r="P6" s="6"/>
      <c r="Q6" s="6"/>
      <c r="R6" s="6"/>
      <c r="S6" s="6"/>
      <c r="T6" s="6"/>
      <c r="U6" s="6"/>
      <c r="V6" s="6"/>
      <c r="W6" s="6"/>
      <c r="X6" s="6"/>
      <c r="Y6" s="6"/>
      <c r="Z6" s="6"/>
    </row>
    <row r="7">
      <c r="A7" s="18" t="s">
        <v>300</v>
      </c>
      <c r="B7" s="6"/>
      <c r="C7" s="6"/>
      <c r="D7" s="6"/>
      <c r="E7" s="6"/>
      <c r="F7" s="6"/>
      <c r="G7" s="6"/>
      <c r="H7" s="6"/>
      <c r="I7" s="6"/>
      <c r="J7" s="6"/>
      <c r="K7" s="6"/>
      <c r="L7" s="6"/>
      <c r="M7" s="6"/>
      <c r="N7" s="6"/>
      <c r="O7" s="6"/>
      <c r="P7" s="6"/>
      <c r="Q7" s="6"/>
      <c r="R7" s="6"/>
      <c r="S7" s="6"/>
      <c r="T7" s="6"/>
      <c r="U7" s="6"/>
      <c r="V7" s="6"/>
      <c r="W7" s="6"/>
      <c r="X7" s="6"/>
      <c r="Y7" s="6"/>
      <c r="Z7" s="6"/>
    </row>
    <row r="8">
      <c r="A8" s="18" t="s">
        <v>301</v>
      </c>
      <c r="B8" s="6"/>
      <c r="C8" s="6"/>
      <c r="D8" s="6"/>
      <c r="E8" s="6"/>
      <c r="F8" s="6"/>
      <c r="G8" s="6"/>
      <c r="H8" s="6"/>
      <c r="I8" s="6"/>
      <c r="J8" s="6"/>
      <c r="K8" s="6"/>
      <c r="L8" s="6"/>
      <c r="M8" s="6"/>
      <c r="N8" s="6"/>
      <c r="O8" s="6"/>
      <c r="P8" s="6"/>
      <c r="Q8" s="6"/>
      <c r="R8" s="6"/>
      <c r="S8" s="6"/>
      <c r="T8" s="6"/>
      <c r="U8" s="6"/>
      <c r="V8" s="6"/>
      <c r="W8" s="6"/>
      <c r="X8" s="6"/>
      <c r="Y8" s="6"/>
      <c r="Z8" s="6"/>
    </row>
    <row r="9">
      <c r="A9" s="18" t="s">
        <v>302</v>
      </c>
      <c r="B9" s="6"/>
      <c r="C9" s="6"/>
      <c r="D9" s="6"/>
      <c r="E9" s="6"/>
      <c r="F9" s="6"/>
      <c r="G9" s="6"/>
      <c r="H9" s="6"/>
      <c r="I9" s="6"/>
      <c r="J9" s="6"/>
      <c r="K9" s="6"/>
      <c r="L9" s="6"/>
      <c r="M9" s="6"/>
      <c r="N9" s="6"/>
      <c r="O9" s="6"/>
      <c r="P9" s="6"/>
      <c r="Q9" s="6"/>
      <c r="R9" s="6"/>
      <c r="S9" s="6"/>
      <c r="T9" s="6"/>
      <c r="U9" s="6"/>
      <c r="V9" s="6"/>
      <c r="W9" s="6"/>
      <c r="X9" s="6"/>
      <c r="Y9" s="6"/>
      <c r="Z9" s="6"/>
    </row>
    <row r="10">
      <c r="A10" s="17" t="s">
        <v>303</v>
      </c>
      <c r="B10" s="6"/>
      <c r="C10" s="6"/>
      <c r="D10" s="6"/>
      <c r="E10" s="6"/>
      <c r="F10" s="6"/>
      <c r="G10" s="6"/>
      <c r="H10" s="6"/>
      <c r="I10" s="6"/>
      <c r="J10" s="6"/>
      <c r="K10" s="6"/>
      <c r="L10" s="6"/>
      <c r="M10" s="6"/>
      <c r="N10" s="6"/>
      <c r="O10" s="6"/>
      <c r="P10" s="6"/>
      <c r="Q10" s="6"/>
      <c r="R10" s="6"/>
      <c r="S10" s="6"/>
      <c r="T10" s="6"/>
      <c r="U10" s="6"/>
      <c r="V10" s="6"/>
      <c r="W10" s="6"/>
      <c r="X10" s="6"/>
      <c r="Y10" s="6"/>
      <c r="Z10" s="6"/>
    </row>
    <row r="11">
      <c r="A11" s="18" t="s">
        <v>304</v>
      </c>
      <c r="B11" s="6"/>
      <c r="C11" s="6"/>
      <c r="D11" s="6"/>
      <c r="E11" s="6"/>
      <c r="F11" s="6"/>
      <c r="G11" s="6"/>
      <c r="H11" s="6"/>
      <c r="I11" s="6"/>
      <c r="J11" s="6"/>
      <c r="K11" s="6"/>
      <c r="L11" s="6"/>
      <c r="M11" s="6"/>
      <c r="N11" s="6"/>
      <c r="O11" s="6"/>
      <c r="P11" s="6"/>
      <c r="Q11" s="6"/>
      <c r="R11" s="6"/>
      <c r="S11" s="6"/>
      <c r="T11" s="6"/>
      <c r="U11" s="6"/>
      <c r="V11" s="6"/>
      <c r="W11" s="6"/>
      <c r="X11" s="6"/>
      <c r="Y11" s="6"/>
      <c r="Z11" s="6"/>
    </row>
    <row r="12">
      <c r="A12" s="18" t="s">
        <v>305</v>
      </c>
      <c r="B12" s="6"/>
      <c r="C12" s="6"/>
      <c r="D12" s="6"/>
      <c r="E12" s="6"/>
      <c r="F12" s="6"/>
      <c r="G12" s="6"/>
      <c r="H12" s="6"/>
      <c r="I12" s="6"/>
      <c r="J12" s="6"/>
      <c r="K12" s="6"/>
      <c r="L12" s="6"/>
      <c r="M12" s="6"/>
      <c r="N12" s="6"/>
      <c r="O12" s="6"/>
      <c r="P12" s="6"/>
      <c r="Q12" s="6"/>
      <c r="R12" s="6"/>
      <c r="S12" s="6"/>
      <c r="T12" s="6"/>
      <c r="U12" s="6"/>
      <c r="V12" s="6"/>
      <c r="W12" s="6"/>
      <c r="X12" s="6"/>
      <c r="Y12" s="6"/>
      <c r="Z12" s="6"/>
    </row>
    <row r="13">
      <c r="A13" s="18" t="s">
        <v>306</v>
      </c>
      <c r="B13" s="6"/>
      <c r="C13" s="6"/>
      <c r="D13" s="6"/>
      <c r="E13" s="6"/>
      <c r="F13" s="6"/>
      <c r="G13" s="6"/>
      <c r="H13" s="6"/>
      <c r="I13" s="6"/>
      <c r="J13" s="6"/>
      <c r="K13" s="6"/>
      <c r="L13" s="6"/>
      <c r="M13" s="6"/>
      <c r="N13" s="6"/>
      <c r="O13" s="6"/>
      <c r="P13" s="6"/>
      <c r="Q13" s="6"/>
      <c r="R13" s="6"/>
      <c r="S13" s="6"/>
      <c r="T13" s="6"/>
      <c r="U13" s="6"/>
      <c r="V13" s="6"/>
      <c r="W13" s="6"/>
      <c r="X13" s="6"/>
      <c r="Y13" s="6"/>
      <c r="Z13" s="6"/>
    </row>
    <row r="14">
      <c r="A14" s="18" t="s">
        <v>307</v>
      </c>
      <c r="B14" s="6"/>
      <c r="C14" s="6"/>
      <c r="D14" s="6"/>
      <c r="E14" s="6"/>
      <c r="F14" s="6"/>
      <c r="G14" s="6"/>
      <c r="H14" s="6"/>
      <c r="I14" s="6"/>
      <c r="J14" s="6"/>
      <c r="K14" s="6"/>
      <c r="L14" s="6"/>
      <c r="M14" s="6"/>
      <c r="N14" s="6"/>
      <c r="O14" s="6"/>
      <c r="P14" s="6"/>
      <c r="Q14" s="6"/>
      <c r="R14" s="6"/>
      <c r="S14" s="6"/>
      <c r="T14" s="6"/>
      <c r="U14" s="6"/>
      <c r="V14" s="6"/>
      <c r="W14" s="6"/>
      <c r="X14" s="6"/>
      <c r="Y14" s="6"/>
      <c r="Z14" s="6"/>
    </row>
    <row r="15">
      <c r="A15" s="18" t="s">
        <v>308</v>
      </c>
      <c r="B15" s="6"/>
      <c r="C15" s="6"/>
      <c r="D15" s="6"/>
      <c r="E15" s="6"/>
      <c r="F15" s="6"/>
      <c r="G15" s="6"/>
      <c r="H15" s="6"/>
      <c r="I15" s="6"/>
      <c r="J15" s="6"/>
      <c r="K15" s="6"/>
      <c r="L15" s="6"/>
      <c r="M15" s="6"/>
      <c r="N15" s="6"/>
      <c r="O15" s="6"/>
      <c r="P15" s="6"/>
      <c r="Q15" s="6"/>
      <c r="R15" s="6"/>
      <c r="S15" s="6"/>
      <c r="T15" s="6"/>
      <c r="U15" s="6"/>
      <c r="V15" s="6"/>
      <c r="W15" s="6"/>
      <c r="X15" s="6"/>
      <c r="Y15" s="6"/>
      <c r="Z15" s="6"/>
    </row>
    <row r="16">
      <c r="A16" s="17" t="s">
        <v>309</v>
      </c>
      <c r="B16" s="6"/>
      <c r="C16" s="6"/>
      <c r="D16" s="6"/>
      <c r="E16" s="6"/>
      <c r="F16" s="6"/>
      <c r="G16" s="6"/>
      <c r="H16" s="6"/>
      <c r="I16" s="6"/>
      <c r="J16" s="6"/>
      <c r="K16" s="6"/>
      <c r="L16" s="6"/>
      <c r="M16" s="6"/>
      <c r="N16" s="6"/>
      <c r="O16" s="6"/>
      <c r="P16" s="6"/>
      <c r="Q16" s="6"/>
      <c r="R16" s="6"/>
      <c r="S16" s="6"/>
      <c r="T16" s="6"/>
      <c r="U16" s="6"/>
      <c r="V16" s="6"/>
      <c r="W16" s="6"/>
      <c r="X16" s="6"/>
      <c r="Y16" s="6"/>
      <c r="Z16" s="6"/>
    </row>
    <row r="17">
      <c r="A17" s="18" t="s">
        <v>310</v>
      </c>
      <c r="B17" s="6"/>
      <c r="C17" s="6"/>
      <c r="D17" s="6"/>
      <c r="E17" s="6"/>
      <c r="F17" s="6"/>
      <c r="G17" s="6"/>
      <c r="H17" s="6"/>
      <c r="I17" s="6"/>
      <c r="J17" s="6"/>
      <c r="K17" s="6"/>
      <c r="L17" s="6"/>
      <c r="M17" s="6"/>
      <c r="N17" s="6"/>
      <c r="O17" s="6"/>
      <c r="P17" s="6"/>
      <c r="Q17" s="6"/>
      <c r="R17" s="6"/>
      <c r="S17" s="6"/>
      <c r="T17" s="6"/>
      <c r="U17" s="6"/>
      <c r="V17" s="6"/>
      <c r="W17" s="6"/>
      <c r="X17" s="6"/>
      <c r="Y17" s="6"/>
      <c r="Z17" s="6"/>
    </row>
    <row r="18">
      <c r="A18" s="18" t="s">
        <v>311</v>
      </c>
      <c r="B18" s="6"/>
      <c r="C18" s="6"/>
      <c r="D18" s="6"/>
      <c r="E18" s="6"/>
      <c r="F18" s="6"/>
      <c r="G18" s="6"/>
      <c r="H18" s="6"/>
      <c r="I18" s="6"/>
      <c r="J18" s="6"/>
      <c r="K18" s="6"/>
      <c r="L18" s="6"/>
      <c r="M18" s="6"/>
      <c r="N18" s="6"/>
      <c r="O18" s="6"/>
      <c r="P18" s="6"/>
      <c r="Q18" s="6"/>
      <c r="R18" s="6"/>
      <c r="S18" s="6"/>
      <c r="T18" s="6"/>
      <c r="U18" s="6"/>
      <c r="V18" s="6"/>
      <c r="W18" s="6"/>
      <c r="X18" s="6"/>
      <c r="Y18" s="6"/>
      <c r="Z18" s="6"/>
    </row>
    <row r="19">
      <c r="A19" s="18" t="s">
        <v>312</v>
      </c>
      <c r="B19" s="6"/>
      <c r="C19" s="6"/>
      <c r="D19" s="6"/>
      <c r="E19" s="6"/>
      <c r="F19" s="6"/>
      <c r="G19" s="6"/>
      <c r="H19" s="6"/>
      <c r="I19" s="6"/>
      <c r="J19" s="6"/>
      <c r="K19" s="6"/>
      <c r="L19" s="6"/>
      <c r="M19" s="6"/>
      <c r="N19" s="6"/>
      <c r="O19" s="6"/>
      <c r="P19" s="6"/>
      <c r="Q19" s="6"/>
      <c r="R19" s="6"/>
      <c r="S19" s="6"/>
      <c r="T19" s="6"/>
      <c r="U19" s="6"/>
      <c r="V19" s="6"/>
      <c r="W19" s="6"/>
      <c r="X19" s="6"/>
      <c r="Y19" s="6"/>
      <c r="Z19" s="6"/>
    </row>
    <row r="20">
      <c r="A20" s="18" t="s">
        <v>313</v>
      </c>
      <c r="B20" s="6"/>
      <c r="C20" s="6"/>
      <c r="D20" s="6"/>
      <c r="E20" s="6"/>
      <c r="F20" s="6"/>
      <c r="G20" s="6"/>
      <c r="H20" s="6"/>
      <c r="I20" s="6"/>
      <c r="J20" s="6"/>
      <c r="K20" s="6"/>
      <c r="L20" s="6"/>
      <c r="M20" s="6"/>
      <c r="N20" s="6"/>
      <c r="O20" s="6"/>
      <c r="P20" s="6"/>
      <c r="Q20" s="6"/>
      <c r="R20" s="6"/>
      <c r="S20" s="6"/>
      <c r="T20" s="6"/>
      <c r="U20" s="6"/>
      <c r="V20" s="6"/>
      <c r="W20" s="6"/>
      <c r="X20" s="6"/>
      <c r="Y20" s="6"/>
      <c r="Z20" s="6"/>
    </row>
    <row r="21">
      <c r="A21" s="18" t="s">
        <v>314</v>
      </c>
      <c r="B21" s="6"/>
      <c r="C21" s="6"/>
      <c r="D21" s="6"/>
      <c r="E21" s="6"/>
      <c r="F21" s="6"/>
      <c r="G21" s="6"/>
      <c r="H21" s="6"/>
      <c r="I21" s="6"/>
      <c r="J21" s="6"/>
      <c r="K21" s="6"/>
      <c r="L21" s="6"/>
      <c r="M21" s="6"/>
      <c r="N21" s="6"/>
      <c r="O21" s="6"/>
      <c r="P21" s="6"/>
      <c r="Q21" s="6"/>
      <c r="R21" s="6"/>
      <c r="S21" s="6"/>
      <c r="T21" s="6"/>
      <c r="U21" s="6"/>
      <c r="V21" s="6"/>
      <c r="W21" s="6"/>
      <c r="X21" s="6"/>
      <c r="Y21" s="6"/>
      <c r="Z21" s="6"/>
    </row>
    <row r="22">
      <c r="A22" s="18" t="s">
        <v>315</v>
      </c>
      <c r="B22" s="6"/>
      <c r="C22" s="6"/>
      <c r="D22" s="6"/>
      <c r="E22" s="6"/>
      <c r="F22" s="6"/>
      <c r="G22" s="6"/>
      <c r="H22" s="6"/>
      <c r="I22" s="6"/>
      <c r="J22" s="6"/>
      <c r="K22" s="6"/>
      <c r="L22" s="6"/>
      <c r="M22" s="6"/>
      <c r="N22" s="6"/>
      <c r="O22" s="6"/>
      <c r="P22" s="6"/>
      <c r="Q22" s="6"/>
      <c r="R22" s="6"/>
      <c r="S22" s="6"/>
      <c r="T22" s="6"/>
      <c r="U22" s="6"/>
      <c r="V22" s="6"/>
      <c r="W22" s="6"/>
      <c r="X22" s="6"/>
      <c r="Y22" s="6"/>
      <c r="Z22" s="6"/>
    </row>
    <row r="23">
      <c r="A23" s="18" t="s">
        <v>316</v>
      </c>
      <c r="B23" s="6"/>
      <c r="C23" s="6"/>
      <c r="D23" s="6"/>
      <c r="E23" s="6"/>
      <c r="F23" s="6"/>
      <c r="G23" s="6"/>
      <c r="H23" s="6"/>
      <c r="I23" s="6"/>
      <c r="J23" s="6"/>
      <c r="K23" s="6"/>
      <c r="L23" s="6"/>
      <c r="M23" s="6"/>
      <c r="N23" s="6"/>
      <c r="O23" s="6"/>
      <c r="P23" s="6"/>
      <c r="Q23" s="6"/>
      <c r="R23" s="6"/>
      <c r="S23" s="6"/>
      <c r="T23" s="6"/>
      <c r="U23" s="6"/>
      <c r="V23" s="6"/>
      <c r="W23" s="6"/>
      <c r="X23" s="6"/>
      <c r="Y23" s="6"/>
      <c r="Z23" s="6"/>
    </row>
    <row r="24">
      <c r="A24" s="17" t="s">
        <v>317</v>
      </c>
      <c r="B24" s="6"/>
      <c r="C24" s="6"/>
      <c r="D24" s="6"/>
      <c r="E24" s="6"/>
      <c r="F24" s="6"/>
      <c r="G24" s="6"/>
      <c r="H24" s="6"/>
      <c r="I24" s="6"/>
      <c r="J24" s="6"/>
      <c r="K24" s="6"/>
      <c r="L24" s="6"/>
      <c r="M24" s="6"/>
      <c r="N24" s="6"/>
      <c r="O24" s="6"/>
      <c r="P24" s="6"/>
      <c r="Q24" s="6"/>
      <c r="R24" s="6"/>
      <c r="S24" s="6"/>
      <c r="T24" s="6"/>
      <c r="U24" s="6"/>
      <c r="V24" s="6"/>
      <c r="W24" s="6"/>
      <c r="X24" s="6"/>
      <c r="Y24" s="6"/>
      <c r="Z24" s="6"/>
    </row>
    <row r="25">
      <c r="A25" s="18" t="s">
        <v>318</v>
      </c>
      <c r="B25" s="6"/>
      <c r="C25" s="6"/>
      <c r="D25" s="6"/>
      <c r="E25" s="6"/>
      <c r="F25" s="6"/>
      <c r="G25" s="6"/>
      <c r="H25" s="6"/>
      <c r="I25" s="6"/>
      <c r="J25" s="6"/>
      <c r="K25" s="6"/>
      <c r="L25" s="6"/>
      <c r="M25" s="6"/>
      <c r="N25" s="6"/>
      <c r="O25" s="6"/>
      <c r="P25" s="6"/>
      <c r="Q25" s="6"/>
      <c r="R25" s="6"/>
      <c r="S25" s="6"/>
      <c r="T25" s="6"/>
      <c r="U25" s="6"/>
      <c r="V25" s="6"/>
      <c r="W25" s="6"/>
      <c r="X25" s="6"/>
      <c r="Y25" s="6"/>
      <c r="Z25" s="6"/>
    </row>
    <row r="26">
      <c r="A26" s="18" t="s">
        <v>319</v>
      </c>
      <c r="B26" s="6"/>
      <c r="C26" s="6"/>
      <c r="D26" s="6"/>
      <c r="E26" s="6"/>
      <c r="F26" s="6"/>
      <c r="G26" s="6"/>
      <c r="H26" s="6"/>
      <c r="I26" s="6"/>
      <c r="J26" s="6"/>
      <c r="K26" s="6"/>
      <c r="L26" s="6"/>
      <c r="M26" s="6"/>
      <c r="N26" s="6"/>
      <c r="O26" s="6"/>
      <c r="P26" s="6"/>
      <c r="Q26" s="6"/>
      <c r="R26" s="6"/>
      <c r="S26" s="6"/>
      <c r="T26" s="6"/>
      <c r="U26" s="6"/>
      <c r="V26" s="6"/>
      <c r="W26" s="6"/>
      <c r="X26" s="6"/>
      <c r="Y26" s="6"/>
      <c r="Z26" s="6"/>
    </row>
    <row r="27">
      <c r="A27" s="18" t="s">
        <v>320</v>
      </c>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95.38"/>
  </cols>
  <sheetData>
    <row r="1">
      <c r="A1" s="19" t="s">
        <v>321</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row>
    <row r="2">
      <c r="A2" s="19" t="s">
        <v>322</v>
      </c>
      <c r="B2" s="19" t="s">
        <v>323</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row>
    <row r="3">
      <c r="A3" s="21" t="s">
        <v>324</v>
      </c>
      <c r="B3" s="19" t="s">
        <v>325</v>
      </c>
      <c r="C3" s="22" t="str">
        <f>IFERROR(__xludf.DUMMYFUNCTION("TEXTJOIN("", "", TRUE, IFERROR(REGEXEXTRACT(B3, ""(K12-\d+)"")))"),"K12-4131")</f>
        <v>K12-4131</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row>
    <row r="4">
      <c r="A4" s="19" t="s">
        <v>326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row>
    <row r="5">
      <c r="A5" s="19" t="s">
        <v>322</v>
      </c>
      <c r="B5" s="19" t="s">
        <v>323</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row>
    <row r="6">
      <c r="A6" s="21" t="s">
        <v>327</v>
      </c>
      <c r="B6" s="19" t="s">
        <v>328</v>
      </c>
      <c r="C6" s="22" t="str">
        <f>IFERROR(__xludf.DUMMYFUNCTION("JOIN("", "",ARRAYFORMULA(IFERROR(REGEXEXTRACT(B6,""(K12-\d+)""))))"),"K12-1588")</f>
        <v>K12-1588</v>
      </c>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row>
    <row r="7">
      <c r="A7" s="21" t="s">
        <v>329</v>
      </c>
      <c r="B7" s="19" t="s">
        <v>330</v>
      </c>
      <c r="C7" s="22" t="str">
        <f>IFERROR(__xludf.DUMMYFUNCTION("JOIN("", "",ARRAYFORMULA(IFERROR(REGEXEXTRACT(B7,""(K12-\d+)""))))"),"K12-1682")</f>
        <v>K12-1682</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row>
    <row r="8">
      <c r="A8" s="21" t="s">
        <v>331</v>
      </c>
      <c r="B8" s="19" t="s">
        <v>332</v>
      </c>
      <c r="C8" s="22" t="str">
        <f>IFERROR(__xludf.DUMMYFUNCTION("JOIN("", "",ARRAYFORMULA(IFERROR(REGEXEXTRACT(B8,""(K12-\d+)""))))"),"K12-3138")</f>
        <v>K12-3138</v>
      </c>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row>
    <row r="9">
      <c r="A9" s="21" t="s">
        <v>333</v>
      </c>
      <c r="B9" s="19" t="s">
        <v>334</v>
      </c>
      <c r="C9" s="22" t="str">
        <f>IFERROR(__xludf.DUMMYFUNCTION("JOIN("", "",ARRAYFORMULA(IFERROR(REGEXEXTRACT(B9,""(K12-\d+)""))))"),"K12-2701")</f>
        <v>K12-2701</v>
      </c>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row>
    <row r="10">
      <c r="A10" s="19" t="s">
        <v>335</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row>
    <row r="11">
      <c r="A11" s="19" t="s">
        <v>322</v>
      </c>
      <c r="B11" s="19" t="s">
        <v>323</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row>
    <row r="12">
      <c r="A12" s="21" t="s">
        <v>336</v>
      </c>
      <c r="B12" s="19" t="s">
        <v>337</v>
      </c>
      <c r="C12" s="22" t="str">
        <f>IFERROR(__xludf.DUMMYFUNCTION("JOIN("", "",ARRAYFORMULA(IFERROR(REGEXEXTRACT(B12,""(K12-\d+)""))))"),"K12-1872")</f>
        <v>K12-1872</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row>
    <row r="13">
      <c r="A13" s="21" t="s">
        <v>338</v>
      </c>
      <c r="B13" s="19" t="s">
        <v>339</v>
      </c>
      <c r="C13" s="22" t="str">
        <f>IFERROR(__xludf.DUMMYFUNCTION("JOIN("", "",ARRAYFORMULA(IFERROR(REGEXEXTRACT(B13,""(K12-\d+)""))))"),"K12-3844")</f>
        <v>K12-3844</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row>
    <row r="14">
      <c r="A14" s="21" t="s">
        <v>340</v>
      </c>
      <c r="B14" s="19" t="s">
        <v>341</v>
      </c>
      <c r="C14" s="22" t="str">
        <f>IFERROR(__xludf.DUMMYFUNCTION("JOIN("", "",ARRAYFORMULA(IFERROR(REGEXEXTRACT(B14,""(K12-\d+)""))))"),"K12-1686")</f>
        <v>K12-1686</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row>
    <row r="15">
      <c r="A15" s="19" t="s">
        <v>342</v>
      </c>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row>
    <row r="16">
      <c r="A16" s="19" t="s">
        <v>322</v>
      </c>
      <c r="B16" s="19" t="s">
        <v>323</v>
      </c>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row>
    <row r="17">
      <c r="A17" s="21" t="s">
        <v>343</v>
      </c>
      <c r="B17" s="19" t="s">
        <v>344</v>
      </c>
      <c r="C17" s="22" t="str">
        <f>IFERROR(__xludf.DUMMYFUNCTION("JOIN("", "",ARRAYFORMULA(IFERROR(REGEXEXTRACT(B17,""(K12-\d+)""))))"),"K12-1684")</f>
        <v>K12-1684</v>
      </c>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row>
    <row r="18">
      <c r="A18" s="21" t="s">
        <v>345</v>
      </c>
      <c r="B18" s="19" t="s">
        <v>346</v>
      </c>
      <c r="C18" s="22" t="str">
        <f>IFERROR(__xludf.DUMMYFUNCTION("JOIN("", "",ARRAYFORMULA(IFERROR(REGEXEXTRACT(B18,""(K12-\d+)""))))"),"K12-1685")</f>
        <v>K12-1685</v>
      </c>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row>
    <row r="19">
      <c r="A19" s="21" t="s">
        <v>347</v>
      </c>
      <c r="B19" s="19" t="s">
        <v>348</v>
      </c>
      <c r="C19" s="22" t="str">
        <f>IFERROR(__xludf.DUMMYFUNCTION("JOIN("", "",ARRAYFORMULA(IFERROR(REGEXEXTRACT(B19,""(K12-\d+)""))))"),"K12-1589")</f>
        <v>K12-1589</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row>
    <row r="20">
      <c r="A20" s="21" t="s">
        <v>349</v>
      </c>
      <c r="B20" s="19" t="s">
        <v>350</v>
      </c>
      <c r="C20" s="22" t="str">
        <f>IFERROR(__xludf.DUMMYFUNCTION("JOIN("", "",ARRAYFORMULA(IFERROR(REGEXEXTRACT(B20,""(K12-\d+)""))))"),"K12-3935")</f>
        <v>K12-3935</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row>
    <row r="21">
      <c r="A21" s="19" t="s">
        <v>351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row>
    <row r="22">
      <c r="A22" s="19" t="s">
        <v>322</v>
      </c>
      <c r="B22" s="19" t="s">
        <v>323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row>
    <row r="23">
      <c r="A23" s="21" t="s">
        <v>352</v>
      </c>
      <c r="B23" s="19" t="s">
        <v>353</v>
      </c>
      <c r="C23" s="22" t="str">
        <f>IFERROR(__xludf.DUMMYFUNCTION("JOIN("", "",ARRAYFORMULA(IFERROR(REGEXEXTRACT(B23,""(K12-\d+)""))))"),"K12-81")</f>
        <v>K12-81</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row>
    <row r="24">
      <c r="A24" s="21" t="s">
        <v>354</v>
      </c>
      <c r="B24" s="19" t="s">
        <v>355</v>
      </c>
      <c r="C24" s="22" t="str">
        <f>IFERROR(__xludf.DUMMYFUNCTION("JOIN("", "",ARRAYFORMULA(IFERROR(REGEXEXTRACT(B24,""(K12-\d+)""))))"),"K12-1590")</f>
        <v>K12-1590</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row>
    <row r="25">
      <c r="A25" s="21" t="s">
        <v>356</v>
      </c>
      <c r="B25" s="19" t="s">
        <v>357</v>
      </c>
      <c r="C25" s="22" t="str">
        <f>IFERROR(__xludf.DUMMYFUNCTION("JOIN("", "",ARRAYFORMULA(IFERROR(REGEXEXTRACT(B25,""(K12-\d+)""))))"),"K12-1766")</f>
        <v>K12-1766</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row>
    <row r="26">
      <c r="A26" s="19" t="s">
        <v>358</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row>
    <row r="27">
      <c r="A27" s="19" t="s">
        <v>322</v>
      </c>
      <c r="B27" s="19" t="s">
        <v>323</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row>
    <row r="28">
      <c r="A28" s="21" t="s">
        <v>359</v>
      </c>
      <c r="B28" s="19" t="s">
        <v>360</v>
      </c>
      <c r="C28" s="22" t="str">
        <f>IFERROR(__xludf.DUMMYFUNCTION("JOIN("", "",ARRAYFORMULA(IFERROR(REGEXEXTRACT(B28,""(K12-\d+)""))))"),"K12-1747")</f>
        <v>K12-1747</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row>
    <row r="29">
      <c r="A29" s="21" t="s">
        <v>361</v>
      </c>
      <c r="B29" s="19" t="s">
        <v>362</v>
      </c>
      <c r="C29" s="22" t="str">
        <f>IFERROR(__xludf.DUMMYFUNCTION("JOIN("", "",ARRAYFORMULA(IFERROR(REGEXEXTRACT(B29,""(K12-\d+)""))))"),"K12-1743")</f>
        <v>K12-1743</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row>
    <row r="30">
      <c r="A30" s="21" t="s">
        <v>363</v>
      </c>
      <c r="B30" s="19" t="s">
        <v>364</v>
      </c>
      <c r="C30" s="22" t="str">
        <f>IFERROR(__xludf.DUMMYFUNCTION("JOIN("", "",ARRAYFORMULA(IFERROR(REGEXEXTRACT(B30,""(K12-\d+)""))))"),"K12-1795")</f>
        <v>K12-1795</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row>
    <row r="31">
      <c r="A31" s="21" t="s">
        <v>365</v>
      </c>
      <c r="B31" s="19" t="s">
        <v>366</v>
      </c>
      <c r="C31" s="22" t="str">
        <f>IFERROR(__xludf.DUMMYFUNCTION("JOIN("", "",ARRAYFORMULA(IFERROR(REGEXEXTRACT(B31,""(K12-\d+)""))))"),"K12-3153")</f>
        <v>K12-3153</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row>
    <row r="32">
      <c r="A32" s="19" t="s">
        <v>367</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row>
    <row r="33">
      <c r="A33" s="19" t="s">
        <v>322</v>
      </c>
      <c r="B33" s="19" t="s">
        <v>323</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row>
    <row r="34">
      <c r="A34" s="21" t="s">
        <v>368</v>
      </c>
      <c r="B34" s="19" t="s">
        <v>369</v>
      </c>
      <c r="C34" s="22" t="str">
        <f>IFERROR(__xludf.DUMMYFUNCTION("JOIN("", "",ARRAYFORMULA(IFERROR(REGEXEXTRACT(B34,""(K12-\d+)""))))"),"K12-2076")</f>
        <v>K12-2076</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row>
    <row r="35">
      <c r="A35" s="21" t="s">
        <v>370</v>
      </c>
      <c r="B35" s="19" t="s">
        <v>371</v>
      </c>
      <c r="C35" s="22" t="str">
        <f>IFERROR(__xludf.DUMMYFUNCTION("JOIN("", "",ARRAYFORMULA(IFERROR(REGEXEXTRACT(B35,""(K12-\d+)""))))"),"K12-399")</f>
        <v>K12-399</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row>
    <row r="36">
      <c r="A36" s="21" t="s">
        <v>372</v>
      </c>
      <c r="B36" s="19" t="s">
        <v>373</v>
      </c>
      <c r="C36" s="22" t="str">
        <f>IFERROR(__xludf.DUMMYFUNCTION("JOIN("", "",ARRAYFORMULA(IFERROR(REGEXEXTRACT(B36,""(K12-\d+)""))))"),"K12-1164")</f>
        <v>K12-1164</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row>
    <row r="37">
      <c r="A37" s="21" t="s">
        <v>374</v>
      </c>
      <c r="B37" s="19" t="s">
        <v>375</v>
      </c>
      <c r="C37" s="22" t="str">
        <f>IFERROR(__xludf.DUMMYFUNCTION("JOIN("", "",ARRAYFORMULA(IFERROR(REGEXEXTRACT(B37,""(K12-\d+)""))))"),"K12-3624")</f>
        <v>K12-3624</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row>
    <row r="38">
      <c r="A38" s="21" t="s">
        <v>376</v>
      </c>
      <c r="B38" s="19" t="s">
        <v>377</v>
      </c>
      <c r="C38" s="22" t="str">
        <f>IFERROR(__xludf.DUMMYFUNCTION("JOIN("", "",ARRAYFORMULA(IFERROR(REGEXEXTRACT(B38,""(K12-\d+)""))))"),"K12-3626")</f>
        <v>K12-3626</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row>
    <row r="39">
      <c r="A39" s="21" t="s">
        <v>378</v>
      </c>
      <c r="B39" s="19" t="s">
        <v>379</v>
      </c>
      <c r="C39" s="22" t="str">
        <f>IFERROR(__xludf.DUMMYFUNCTION("JOIN("", "",ARRAYFORMULA(IFERROR(REGEXEXTRACT(B39,""(K12-\d+)""))))"),"K12-3625")</f>
        <v>K12-3625</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row>
    <row r="40">
      <c r="A40" s="21" t="s">
        <v>380</v>
      </c>
      <c r="B40" s="19" t="s">
        <v>381</v>
      </c>
      <c r="C40" s="22" t="str">
        <f>IFERROR(__xludf.DUMMYFUNCTION("JOIN("", "",ARRAYFORMULA(IFERROR(REGEXEXTRACT(B40,""(K12-\d+)""))))"),"K12-3590")</f>
        <v>K12-3590</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row>
    <row r="41">
      <c r="A41" s="21" t="s">
        <v>382</v>
      </c>
      <c r="B41" s="19" t="s">
        <v>383</v>
      </c>
      <c r="C41" s="22" t="str">
        <f>IFERROR(__xludf.DUMMYFUNCTION("TEXTJOIN("", "", TRUE, IFERROR(REGEXEXTRACT(B6, ""(K12-\d+)"")))"),"K12-1588")</f>
        <v>K12-1588</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row>
    <row r="42">
      <c r="A42" s="19" t="s">
        <v>384</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row>
    <row r="43">
      <c r="A43" s="19" t="s">
        <v>322</v>
      </c>
      <c r="B43" s="19" t="s">
        <v>323</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row>
    <row r="44">
      <c r="A44" s="21" t="s">
        <v>385</v>
      </c>
      <c r="B44" s="19" t="s">
        <v>386</v>
      </c>
      <c r="C44" s="22" t="str">
        <f>IFERROR(__xludf.DUMMYFUNCTION("JOIN("", "",ARRAYFORMULA(IFERROR(REGEXEXTRACT(B44,""(K12-\d+)""))))"),"K12-4131")</f>
        <v>K12-4131</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row>
    <row r="45">
      <c r="A45" s="21" t="s">
        <v>387</v>
      </c>
      <c r="B45" s="19" t="s">
        <v>388</v>
      </c>
      <c r="C45" s="22" t="str">
        <f>IFERROR(__xludf.DUMMYFUNCTION("JOIN("", "",ARRAYFORMULA(IFERROR(REGEXEXTRACT(B45,""(K12-\d+)""))))"),"K12-4023")</f>
        <v>K12-4023</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row>
    <row r="46">
      <c r="A46" s="21" t="s">
        <v>389</v>
      </c>
      <c r="B46" s="19" t="s">
        <v>390</v>
      </c>
      <c r="C46" s="22" t="str">
        <f>IFERROR(__xludf.DUMMYFUNCTION("JOIN("", "",ARRAYFORMULA(IFERROR(REGEXEXTRACT(B46,""(K12-\d+)""))))"),"K12-2577")</f>
        <v>K12-2577</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row>
    <row r="47">
      <c r="A47" s="21" t="s">
        <v>391</v>
      </c>
      <c r="B47" s="19" t="s">
        <v>392</v>
      </c>
      <c r="C47" s="22" t="str">
        <f>IFERROR(__xludf.DUMMYFUNCTION("JOIN("", "",ARRAYFORMULA(IFERROR(REGEXEXTRACT(B47,""(K12-\d+)""))))"),"K12-3132")</f>
        <v>K12-3132</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row>
    <row r="48">
      <c r="A48" s="21" t="s">
        <v>393</v>
      </c>
      <c r="B48" s="19" t="s">
        <v>394</v>
      </c>
      <c r="C48" s="22" t="str">
        <f>IFERROR(__xludf.DUMMYFUNCTION("JOIN("", "",ARRAYFORMULA(IFERROR(REGEXEXTRACT(B48,""(K12-\d+)""))))"),"K12-4072")</f>
        <v>K12-4072</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row>
    <row r="49">
      <c r="A49" s="21" t="s">
        <v>395</v>
      </c>
      <c r="B49" s="19" t="s">
        <v>396</v>
      </c>
      <c r="C49" s="22" t="str">
        <f>IFERROR(__xludf.DUMMYFUNCTION("JOIN("", "",ARRAYFORMULA(IFERROR(REGEXEXTRACT(B49,""(K12-\d+)""))))"),"K12-4132")</f>
        <v>K12-4132</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row>
    <row r="50">
      <c r="A50" s="21" t="s">
        <v>397</v>
      </c>
      <c r="B50" s="19" t="s">
        <v>398</v>
      </c>
      <c r="C50" s="22" t="str">
        <f>IFERROR(__xludf.DUMMYFUNCTION("JOIN("", "",ARRAYFORMULA(IFERROR(REGEXEXTRACT(B50,""(K12-\d+)""))))"),"K12-4150")</f>
        <v>K12-4150</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row>
    <row r="51">
      <c r="A51" s="21" t="s">
        <v>399</v>
      </c>
      <c r="B51" s="19" t="s">
        <v>400</v>
      </c>
      <c r="C51" s="22" t="str">
        <f>IFERROR(__xludf.DUMMYFUNCTION("JOIN("", "",ARRAYFORMULA(IFERROR(REGEXEXTRACT(B51,""(K12-\d+)""))))"),"K12-2537")</f>
        <v>K12-2537</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row>
    <row r="52">
      <c r="A52" s="21" t="s">
        <v>401</v>
      </c>
      <c r="B52" s="19" t="s">
        <v>402</v>
      </c>
      <c r="C52" s="22" t="str">
        <f>IFERROR(__xludf.DUMMYFUNCTION("JOIN("", "",ARRAYFORMULA(IFERROR(REGEXEXTRACT(B52,""(K12-\d+)""))))"),"K12-1250")</f>
        <v>K12-1250</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row>
    <row r="53">
      <c r="A53" s="21" t="s">
        <v>403</v>
      </c>
      <c r="B53" s="19" t="s">
        <v>404</v>
      </c>
      <c r="C53" s="22" t="str">
        <f>IFERROR(__xludf.DUMMYFUNCTION("JOIN("", "",ARRAYFORMULA(IFERROR(REGEXEXTRACT(B53,""(K12-\d+)""))))"),"K12-3221")</f>
        <v>K12-3221</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row>
    <row r="54">
      <c r="A54" s="21" t="s">
        <v>405</v>
      </c>
      <c r="B54" s="19" t="s">
        <v>406</v>
      </c>
      <c r="C54" s="22" t="str">
        <f>IFERROR(__xludf.DUMMYFUNCTION("JOIN("", "",ARRAYFORMULA(IFERROR(REGEXEXTRACT(B54,""(K12-\d+)""))))"),"K12-3166")</f>
        <v>K12-3166</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row>
    <row r="55">
      <c r="A55" s="21" t="s">
        <v>407</v>
      </c>
      <c r="B55" s="19" t="s">
        <v>408</v>
      </c>
      <c r="C55" s="22" t="str">
        <f>IFERROR(__xludf.DUMMYFUNCTION("JOIN("", "",ARRAYFORMULA(IFERROR(REGEXEXTRACT(B55,""(K12-\d+)""))))"),"K12-3506")</f>
        <v>K12-3506</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row>
    <row r="56">
      <c r="A56" s="2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row>
    <row r="57">
      <c r="A57" s="19" t="s">
        <v>409</v>
      </c>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row>
    <row r="58">
      <c r="A58" s="19" t="s">
        <v>322</v>
      </c>
      <c r="B58" s="19" t="s">
        <v>323</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row>
    <row r="59">
      <c r="A59" s="21" t="s">
        <v>410</v>
      </c>
      <c r="B59" s="19" t="s">
        <v>411</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row>
    <row r="60">
      <c r="A60" s="21" t="s">
        <v>412</v>
      </c>
      <c r="B60" s="19" t="s">
        <v>413</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row>
    <row r="61">
      <c r="A61" s="21" t="s">
        <v>414</v>
      </c>
      <c r="B61" s="19" t="s">
        <v>415</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row>
    <row r="62">
      <c r="A62" s="21" t="s">
        <v>416</v>
      </c>
      <c r="B62" s="19" t="s">
        <v>417</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row>
    <row r="63">
      <c r="A63" s="21" t="s">
        <v>418</v>
      </c>
      <c r="B63" s="19" t="s">
        <v>419</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row>
    <row r="64">
      <c r="A64" s="21" t="s">
        <v>420</v>
      </c>
      <c r="B64" s="19" t="s">
        <v>421</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row>
  </sheetData>
  <drawing r:id="rId1"/>
</worksheet>
</file>